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b899eaf60e1dfde9/Documents/"/>
    </mc:Choice>
  </mc:AlternateContent>
  <xr:revisionPtr revIDLastSave="2406" documentId="8_{48DBD18E-ADAB-4AA0-B736-03C7426F60A1}" xr6:coauthVersionLast="47" xr6:coauthVersionMax="47" xr10:uidLastSave="{059623C9-CAE0-4DC2-9DA1-15AA7D4F9CFC}"/>
  <bookViews>
    <workbookView xWindow="-110" yWindow="-110" windowWidth="19420" windowHeight="11500" firstSheet="3" activeTab="3" xr2:uid="{7CB2E97F-29BF-4B94-8EB6-54FED0735B92}"/>
  </bookViews>
  <sheets>
    <sheet name="Sheet1" sheetId="9" r:id="rId1"/>
    <sheet name="Sheet3" sheetId="13" r:id="rId2"/>
    <sheet name="Pivot Report" sheetId="1" r:id="rId3"/>
    <sheet name="Dashboard" sheetId="7" r:id="rId4"/>
    <sheet name="Patient Satisfaction Score" sheetId="11" r:id="rId5"/>
    <sheet name="avevage waittime" sheetId="10" r:id="rId6"/>
    <sheet name="Daily ER No of patient" sheetId="8" r:id="rId7"/>
  </sheets>
  <definedNames>
    <definedName name="ExternalData_1" localSheetId="0" hidden="1">Sheet1!$A$3:$N$34</definedName>
    <definedName name="Slicer_Date__Month">#N/A</definedName>
    <definedName name="Slicer_Date__Year">#N/A</definedName>
  </definedNames>
  <calcPr calcId="191029"/>
  <pivotCaches>
    <pivotCache cacheId="1204" r:id="rId8"/>
    <pivotCache cacheId="2745" r:id="rId9"/>
    <pivotCache cacheId="2748" r:id="rId10"/>
    <pivotCache cacheId="2751" r:id="rId11"/>
    <pivotCache cacheId="2754" r:id="rId12"/>
    <pivotCache cacheId="2757" r:id="rId13"/>
    <pivotCache cacheId="2760" r:id="rId14"/>
    <pivotCache cacheId="2763" r:id="rId15"/>
    <pivotCache cacheId="2766" r:id="rId16"/>
    <pivotCache cacheId="2769" r:id="rId17"/>
    <pivotCache cacheId="2772" r:id="rId18"/>
    <pivotCache cacheId="2775" r:id="rId19"/>
    <pivotCache cacheId="2778" r:id="rId20"/>
  </pivotCaches>
  <extLst>
    <ext xmlns:x14="http://schemas.microsoft.com/office/spreadsheetml/2009/9/main" uri="{876F7934-8845-4945-9796-88D515C7AA90}">
      <x14:pivotCaches>
        <pivotCache cacheId="1895"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a27088d-3044-44b5-bdbb-2e001037af20" name="Hospital Emergency Room Data" connection="Query - Hospital Emergency Room Data"/>
          <x15:modelTable id="Calendar_Table_fc0e6bcc-c192-48b1-a474-0477e5ca0a7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8" i="1" l="1"/>
  <c r="A47" i="1"/>
  <c r="A48" i="1"/>
  <c r="B47" i="1"/>
  <c r="C47" i="1"/>
  <c r="C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6AE5B3-BD31-440A-8E6A-6C7AF2D005B8}" keepAlive="1" name="ModelConnection_ExternalData_1" description="Data Model" type="5" refreshedVersion="8" minRefreshableVersion="5" saveData="1">
    <dbPr connection="Data Model Connection" command="DRILLTHROUGH MAXROWS 1000 SELECT FROM [Model] WHERE (([Calendar_Table].[Date (Month)].&amp;[Apr],[Measures].[Average of Patient Waittime],[Calendar_Table].[Date (Day)].&amp;[6-Apr]))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Patient Admission Flag_1],[$Hospital Emergency Room Data].[Age Group],[$Hospital Emergency Room Data].[Patient attend Status]" commandType="4"/>
    <extLst>
      <ext xmlns:x15="http://schemas.microsoft.com/office/spreadsheetml/2010/11/main" uri="{DE250136-89BD-433C-8126-D09CA5730AF9}">
        <x15:connection id="" model="1"/>
      </ext>
    </extLst>
  </connection>
  <connection id="2" xr16:uid="{96DB375D-9A7C-4C7C-8386-7B7A8BC42948}" name="Query - Calendar_Table" description="Connection to the 'Calendar_Table' query in the workbook." type="100" refreshedVersion="8" minRefreshableVersion="5">
    <extLst>
      <ext xmlns:x15="http://schemas.microsoft.com/office/spreadsheetml/2010/11/main" uri="{DE250136-89BD-433C-8126-D09CA5730AF9}">
        <x15:connection id="fc4b28b6-e6b5-4308-952b-f70ec8ee080f"/>
      </ext>
    </extLst>
  </connection>
  <connection id="3" xr16:uid="{7EC7B955-D2B3-4D1F-8FF5-1CD0E6F7478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eb55628-17b9-4e52-b1a2-2620622fb832"/>
      </ext>
    </extLst>
  </connection>
  <connection id="4" xr16:uid="{D19C0F49-6708-4648-9F26-E24E1796C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<sst xmlns="http://schemas.openxmlformats.org/spreadsheetml/2006/main" count="415" uniqueCount="156">
  <si>
    <t>Distinct Count of Patient Id</t>
  </si>
  <si>
    <t>No. of patient</t>
  </si>
  <si>
    <t>Average of Patient Waittime</t>
  </si>
  <si>
    <t>Average of Patient Satisfaction Score</t>
  </si>
  <si>
    <t>Grand Total</t>
  </si>
  <si>
    <t>Row Labels</t>
  </si>
  <si>
    <t xml:space="preserve"> </t>
  </si>
  <si>
    <t>Daily trends of no of patient</t>
  </si>
  <si>
    <t xml:space="preserve">Average wait time </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</si>
  <si>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</si>
  <si>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</si>
  <si>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</si>
  <si>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</si>
  <si>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</si>
  <si>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</si>
  <si>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</si>
  <si>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</si>
  <si>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</si>
  <si>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</si>
  <si>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</si>
  <si>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Data[Patient Admission Flag_1]</t>
  </si>
  <si>
    <t>Hospital Emergency Room Data[Age Group]</t>
  </si>
  <si>
    <t>Hospital Emergency Room Data[Patient attend Status]</t>
  </si>
  <si>
    <t>752-35-9712</t>
  </si>
  <si>
    <t>Y. Gresley</t>
  </si>
  <si>
    <t>Male</t>
  </si>
  <si>
    <t>White</t>
  </si>
  <si>
    <t>None</t>
  </si>
  <si>
    <t>Not Admitted</t>
  </si>
  <si>
    <t>60-69</t>
  </si>
  <si>
    <t>Delay</t>
  </si>
  <si>
    <t>530-18-6594</t>
  </si>
  <si>
    <t>B. Delion</t>
  </si>
  <si>
    <t>African American</t>
  </si>
  <si>
    <t>Ontime</t>
  </si>
  <si>
    <t>389-69-8333</t>
  </si>
  <si>
    <t>O. Barthrop</t>
  </si>
  <si>
    <t>Female</t>
  </si>
  <si>
    <t>Admitted</t>
  </si>
  <si>
    <t>722-05-8745</t>
  </si>
  <si>
    <t>V. Baggaley</t>
  </si>
  <si>
    <t>0-09</t>
  </si>
  <si>
    <t>781-16-9719</t>
  </si>
  <si>
    <t>H. Breslin</t>
  </si>
  <si>
    <t>Two or More Races</t>
  </si>
  <si>
    <t>70-79</t>
  </si>
  <si>
    <t>458-85-7700</t>
  </si>
  <si>
    <t>O. Atkins</t>
  </si>
  <si>
    <t>20-29</t>
  </si>
  <si>
    <t>297-23-3279</t>
  </si>
  <si>
    <t>Q. Glazer</t>
  </si>
  <si>
    <t>131-43-0412</t>
  </si>
  <si>
    <t>G. Whittle</t>
  </si>
  <si>
    <t>Declined to Identify</t>
  </si>
  <si>
    <t>50-59</t>
  </si>
  <si>
    <t>279-68-0582</t>
  </si>
  <si>
    <t>N. Bernetti</t>
  </si>
  <si>
    <t>498-12-3034</t>
  </si>
  <si>
    <t>G. Satyford</t>
  </si>
  <si>
    <t>Asian</t>
  </si>
  <si>
    <t>40-49</t>
  </si>
  <si>
    <t>817-93-7526</t>
  </si>
  <si>
    <t>J. Pollak</t>
  </si>
  <si>
    <t>864-13-9865</t>
  </si>
  <si>
    <t>S. Valadez</t>
  </si>
  <si>
    <t>Native American/Alaska Native</t>
  </si>
  <si>
    <t>647-14-8894</t>
  </si>
  <si>
    <t>M. Jukes</t>
  </si>
  <si>
    <t>846-40-7635</t>
  </si>
  <si>
    <t>K. Fern</t>
  </si>
  <si>
    <t>General Practice</t>
  </si>
  <si>
    <t>242-33-1856</t>
  </si>
  <si>
    <t>T. Wyman</t>
  </si>
  <si>
    <t>533-11-5273</t>
  </si>
  <si>
    <t>R. Giacopello</t>
  </si>
  <si>
    <t>10-19</t>
  </si>
  <si>
    <t>443-36-2330</t>
  </si>
  <si>
    <t>J. Ballin</t>
  </si>
  <si>
    <t>Orthopedics</t>
  </si>
  <si>
    <t>286-31-5737</t>
  </si>
  <si>
    <t>J. Louder</t>
  </si>
  <si>
    <t>30-39</t>
  </si>
  <si>
    <t>427-16-0688</t>
  </si>
  <si>
    <t>H. Snalum</t>
  </si>
  <si>
    <t>470-60-5209</t>
  </si>
  <si>
    <t>Z. Iacovides</t>
  </si>
  <si>
    <t>Physiotherapy</t>
  </si>
  <si>
    <t>193-43-6202</t>
  </si>
  <si>
    <t>D. Jon</t>
  </si>
  <si>
    <t>Gastroenterology</t>
  </si>
  <si>
    <t>857-68-5135</t>
  </si>
  <si>
    <t>C. Scott</t>
  </si>
  <si>
    <t>409-08-4045</t>
  </si>
  <si>
    <t>O. Spillane</t>
  </si>
  <si>
    <t>297-60-2643</t>
  </si>
  <si>
    <t>K. Aron</t>
  </si>
  <si>
    <t>Cardiology</t>
  </si>
  <si>
    <t>110-38-1973</t>
  </si>
  <si>
    <t>X. Dysart</t>
  </si>
  <si>
    <t>199-06-1284</t>
  </si>
  <si>
    <t>G. Tibb</t>
  </si>
  <si>
    <t>787-80-4731</t>
  </si>
  <si>
    <t>F. Antonucci</t>
  </si>
  <si>
    <t>684-81-2276</t>
  </si>
  <si>
    <t>T. Slowley</t>
  </si>
  <si>
    <t>171-54-6595</t>
  </si>
  <si>
    <t>D. Dragon</t>
  </si>
  <si>
    <t>544-07-1814</t>
  </si>
  <si>
    <t>J. Pitcaithley</t>
  </si>
  <si>
    <t>259-14-9232</t>
  </si>
  <si>
    <t>M. Olexa</t>
  </si>
  <si>
    <t>Data returned for Average of Patient Waittime, 6-Apr, Apr (First 1000 rows).</t>
  </si>
  <si>
    <t xml:space="preserve">Satisfaction Score Daily Trend  </t>
  </si>
  <si>
    <t xml:space="preserve">   </t>
  </si>
  <si>
    <t>Count of Patient Admission Flag</t>
  </si>
  <si>
    <t>Count of Patient Admission Flag_1</t>
  </si>
  <si>
    <t>Admission Status</t>
  </si>
  <si>
    <t>Neurology</t>
  </si>
  <si>
    <t>Renal</t>
  </si>
  <si>
    <t>Count of Age Group</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</si>
  <si>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</si>
  <si>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</si>
  <si>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</si>
  <si>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</si>
  <si>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</si>
  <si>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</si>
  <si>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</si>
  <si>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</si>
  <si>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</si>
  <si>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</si>
  <si>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</si>
  <si>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</si>
  <si>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</si>
  <si>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</si>
  <si>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</si>
  <si>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</si>
  <si>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</si>
  <si>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</si>
  <si>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</si>
  <si>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</si>
  <si>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</si>
  <si>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</si>
  <si>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</si>
  <si>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</si>
  <si>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</si>
  <si>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</si>
  <si>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</si>
  <si>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</si>
  <si>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</si>
  <si>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</si>
  <si>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Count of Patient attend Status</t>
  </si>
  <si>
    <t>Count of Patient Gender</t>
  </si>
  <si>
    <t>Patient</t>
  </si>
  <si>
    <t>% of Total</t>
  </si>
  <si>
    <t>Count of Department Referral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</si>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</sst>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0" tint="-4.9989318521683403E-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24">
    <xf numFmtId="0" fontId="0" fillId="0" borderId="0" xfId="0"/>
    <xf numFmtId="0" fontId="0" fillId="0" borderId="0" xfId="0" pivotButton="1"/>
    <xf numFmtId="2" fontId="0" fillId="0" borderId="0" xfId="0" applyNumberFormat="1"/>
    <xf numFmtId="0" fontId="0" fillId="0" borderId="0" xfId="0" applyAlignment="1">
      <alignment horizontal="left"/>
    </xf>
    <xf numFmtId="14" fontId="0" fillId="0" borderId="0" xfId="0" applyNumberFormat="1"/>
    <xf numFmtId="21" fontId="0" fillId="0" borderId="0" xfId="0" applyNumberFormat="1"/>
    <xf numFmtId="0" fontId="2" fillId="0" borderId="0" xfId="0" applyFont="1"/>
    <xf numFmtId="0" fontId="0" fillId="0" borderId="0" xfId="0" applyNumberFormat="1"/>
    <xf numFmtId="10" fontId="0" fillId="0" borderId="0" xfId="0" applyNumberFormat="1"/>
    <xf numFmtId="0" fontId="0" fillId="2" borderId="0" xfId="0" applyFill="1"/>
    <xf numFmtId="9" fontId="0" fillId="0" borderId="0" xfId="1" applyFont="1" applyAlignment="1">
      <alignment horizontal="center"/>
    </xf>
    <xf numFmtId="0" fontId="0" fillId="2" borderId="0" xfId="0" applyFill="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 fontId="0" fillId="0" borderId="0" xfId="0" applyNumberFormat="1"/>
    <xf numFmtId="0" fontId="1" fillId="3" borderId="0" xfId="0" applyFont="1" applyFill="1" applyBorder="1"/>
    <xf numFmtId="1" fontId="0" fillId="0" borderId="0" xfId="0" applyNumberFormat="1" applyAlignment="1">
      <alignment horizontal="center"/>
    </xf>
  </cellXfs>
  <cellStyles count="2">
    <cellStyle name="Normal" xfId="0" builtinId="0"/>
    <cellStyle name="Percent" xfId="1" builtinId="5"/>
  </cellStyles>
  <dxfs count="158">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6" formatCode="hh:mm:ss"/>
    </dxf>
    <dxf>
      <numFmt numFmtId="19" formatCode="dd/mm/yyyy"/>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 new" pivot="0" table="0" count="10" xr9:uid="{3F290577-E331-4B01-94B9-9AC02FC11D3B}">
      <tableStyleElement type="wholeTable" dxfId="157"/>
      <tableStyleElement type="headerRow" dxfId="156"/>
    </tableStyle>
  </tableStyles>
  <colors>
    <mruColors>
      <color rgb="FFFF7C80"/>
      <color rgb="FFFF505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9.xml"/><Relationship Id="rId21" Type="http://schemas.openxmlformats.org/officeDocument/2006/relationships/pivotCacheDefinition" Target="pivotCache/pivotCacheDefinition14.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6.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3.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.xlsx]Sheet3!PivotTable11</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766584448"/>
        <c:axId val="1766584928"/>
      </c:barChart>
      <c:catAx>
        <c:axId val="1766584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84928"/>
        <c:crosses val="autoZero"/>
        <c:auto val="1"/>
        <c:lblAlgn val="ctr"/>
        <c:lblOffset val="100"/>
        <c:noMultiLvlLbl val="0"/>
      </c:catAx>
      <c:valAx>
        <c:axId val="176658492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8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.xlsx]Pivot Report!PivotTable2</c:name>
    <c:fmtId val="4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13889248350023E-4"/>
          <c:y val="0.30857098428474705"/>
          <c:w val="0.99986643502592509"/>
          <c:h val="0.69142901571525295"/>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Report'!$D$5:$D$35</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3-654A-479B-9F29-A279437429C8}"/>
            </c:ext>
          </c:extLst>
        </c:ser>
        <c:dLbls>
          <c:showLegendKey val="0"/>
          <c:showVal val="0"/>
          <c:showCatName val="0"/>
          <c:showSerName val="0"/>
          <c:showPercent val="0"/>
          <c:showBubbleSize val="0"/>
        </c:dLbls>
        <c:axId val="1785944303"/>
        <c:axId val="1785929903"/>
      </c:areaChart>
      <c:catAx>
        <c:axId val="1785944303"/>
        <c:scaling>
          <c:orientation val="minMax"/>
        </c:scaling>
        <c:delete val="1"/>
        <c:axPos val="b"/>
        <c:numFmt formatCode="General" sourceLinked="1"/>
        <c:majorTickMark val="out"/>
        <c:minorTickMark val="none"/>
        <c:tickLblPos val="nextTo"/>
        <c:crossAx val="1785929903"/>
        <c:crosses val="autoZero"/>
        <c:auto val="1"/>
        <c:lblAlgn val="ctr"/>
        <c:lblOffset val="100"/>
        <c:noMultiLvlLbl val="0"/>
      </c:catAx>
      <c:valAx>
        <c:axId val="1785929903"/>
        <c:scaling>
          <c:orientation val="minMax"/>
        </c:scaling>
        <c:delete val="1"/>
        <c:axPos val="l"/>
        <c:numFmt formatCode="General" sourceLinked="1"/>
        <c:majorTickMark val="none"/>
        <c:minorTickMark val="none"/>
        <c:tickLblPos val="nextTo"/>
        <c:crossAx val="17859443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.xlsx]Pivot Report!PivotTable5</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Report'!$G$5:$G$35</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3-D5DB-4673-ACA3-F53E02264583}"/>
            </c:ext>
          </c:extLst>
        </c:ser>
        <c:dLbls>
          <c:showLegendKey val="0"/>
          <c:showVal val="0"/>
          <c:showCatName val="0"/>
          <c:showSerName val="0"/>
          <c:showPercent val="0"/>
          <c:showBubbleSize val="0"/>
        </c:dLbls>
        <c:axId val="1404999439"/>
        <c:axId val="1405001359"/>
      </c:areaChart>
      <c:catAx>
        <c:axId val="1404999439"/>
        <c:scaling>
          <c:orientation val="minMax"/>
        </c:scaling>
        <c:delete val="1"/>
        <c:axPos val="b"/>
        <c:numFmt formatCode="General" sourceLinked="1"/>
        <c:majorTickMark val="out"/>
        <c:minorTickMark val="none"/>
        <c:tickLblPos val="nextTo"/>
        <c:crossAx val="1405001359"/>
        <c:crosses val="autoZero"/>
        <c:auto val="1"/>
        <c:lblAlgn val="ctr"/>
        <c:lblOffset val="100"/>
        <c:noMultiLvlLbl val="0"/>
      </c:catAx>
      <c:valAx>
        <c:axId val="1405001359"/>
        <c:scaling>
          <c:orientation val="minMax"/>
        </c:scaling>
        <c:delete val="1"/>
        <c:axPos val="l"/>
        <c:numFmt formatCode="0.00" sourceLinked="1"/>
        <c:majorTickMark val="none"/>
        <c:minorTickMark val="none"/>
        <c:tickLblPos val="nextTo"/>
        <c:crossAx val="140499943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.xlsx]Pivot Report!PivotTable6</c:name>
    <c:fmtId val="9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Report'!$J$5:$J$35</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3-889D-475E-9153-5F62760F2CDC}"/>
            </c:ext>
          </c:extLst>
        </c:ser>
        <c:dLbls>
          <c:showLegendKey val="0"/>
          <c:showVal val="0"/>
          <c:showCatName val="0"/>
          <c:showSerName val="0"/>
          <c:showPercent val="0"/>
          <c:showBubbleSize val="0"/>
        </c:dLbls>
        <c:axId val="119926655"/>
        <c:axId val="119919935"/>
      </c:areaChart>
      <c:catAx>
        <c:axId val="119926655"/>
        <c:scaling>
          <c:orientation val="minMax"/>
        </c:scaling>
        <c:delete val="1"/>
        <c:axPos val="b"/>
        <c:numFmt formatCode="General" sourceLinked="1"/>
        <c:majorTickMark val="out"/>
        <c:minorTickMark val="none"/>
        <c:tickLblPos val="nextTo"/>
        <c:crossAx val="119919935"/>
        <c:crosses val="autoZero"/>
        <c:auto val="1"/>
        <c:lblAlgn val="ctr"/>
        <c:lblOffset val="100"/>
        <c:noMultiLvlLbl val="0"/>
      </c:catAx>
      <c:valAx>
        <c:axId val="119919935"/>
        <c:scaling>
          <c:orientation val="minMax"/>
        </c:scaling>
        <c:delete val="1"/>
        <c:axPos val="l"/>
        <c:numFmt formatCode="0.00" sourceLinked="1"/>
        <c:majorTickMark val="none"/>
        <c:minorTickMark val="none"/>
        <c:tickLblPos val="nextTo"/>
        <c:crossAx val="1199266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.xlsx]Pivot Report!PivotTable8</c:name>
    <c:fmtId val="4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Report'!$A$52:$A$60</c:f>
              <c:strCache>
                <c:ptCount val="8"/>
                <c:pt idx="0">
                  <c:v>0-09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56</c:v>
                </c:pt>
                <c:pt idx="1">
                  <c:v>63</c:v>
                </c:pt>
                <c:pt idx="2">
                  <c:v>49</c:v>
                </c:pt>
                <c:pt idx="3">
                  <c:v>68</c:v>
                </c:pt>
                <c:pt idx="4">
                  <c:v>53</c:v>
                </c:pt>
                <c:pt idx="5">
                  <c:v>59</c:v>
                </c:pt>
                <c:pt idx="6">
                  <c:v>62</c:v>
                </c:pt>
                <c:pt idx="7">
                  <c:v>54</c:v>
                </c:pt>
              </c:numCache>
            </c:numRef>
          </c:val>
          <c:extLst>
            <c:ext xmlns:c16="http://schemas.microsoft.com/office/drawing/2014/chart" uri="{C3380CC4-5D6E-409C-BE32-E72D297353CC}">
              <c16:uniqueId val="{00000004-21AB-4515-900A-1A53F83E2173}"/>
            </c:ext>
          </c:extLst>
        </c:ser>
        <c:dLbls>
          <c:dLblPos val="outEnd"/>
          <c:showLegendKey val="0"/>
          <c:showVal val="1"/>
          <c:showCatName val="0"/>
          <c:showSerName val="0"/>
          <c:showPercent val="0"/>
          <c:showBubbleSize val="0"/>
        </c:dLbls>
        <c:gapWidth val="444"/>
        <c:overlap val="-90"/>
        <c:axId val="1104229936"/>
        <c:axId val="1104240016"/>
      </c:barChart>
      <c:catAx>
        <c:axId val="11042299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1104240016"/>
        <c:crosses val="autoZero"/>
        <c:auto val="1"/>
        <c:lblAlgn val="ctr"/>
        <c:lblOffset val="100"/>
        <c:noMultiLvlLbl val="0"/>
      </c:catAx>
      <c:valAx>
        <c:axId val="1104240016"/>
        <c:scaling>
          <c:orientation val="minMax"/>
        </c:scaling>
        <c:delete val="1"/>
        <c:axPos val="l"/>
        <c:numFmt formatCode="0" sourceLinked="1"/>
        <c:majorTickMark val="none"/>
        <c:minorTickMark val="none"/>
        <c:tickLblPos val="nextTo"/>
        <c:crossAx val="110422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.xlsx]Pivot Report!PivotTable9</c:name>
    <c:fmtId val="57"/>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4988641333531619"/>
              <c:y val="-7.70582170953569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2440710398326194"/>
                  <c:h val="0.20626498030811058"/>
                </c:manualLayout>
              </c15:layout>
            </c:ext>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5231843532446374"/>
                  <c:h val="0.20626498030811058"/>
                </c:manualLayout>
              </c15:layout>
            </c:ext>
          </c:extLst>
        </c:dLbl>
      </c:pivotFmt>
    </c:pivotFmts>
    <c:plotArea>
      <c:layout>
        <c:manualLayout>
          <c:layoutTarget val="inner"/>
          <c:xMode val="edge"/>
          <c:yMode val="edge"/>
          <c:x val="5.9134571415713766E-2"/>
          <c:y val="0.20703557851310114"/>
          <c:w val="0.863696739980925"/>
          <c:h val="0.78021603347640278"/>
        </c:manualLayout>
      </c:layout>
      <c:pieChart>
        <c:varyColors val="1"/>
        <c:ser>
          <c:idx val="0"/>
          <c:order val="0"/>
          <c:tx>
            <c:strRef>
              <c:f>'Pivot Report'!$B$62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dLbl>
              <c:idx val="0"/>
              <c:layout>
                <c:manualLayout>
                  <c:x val="-0.14988641333531619"/>
                  <c:y val="-7.7058217095356957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2440710398326194"/>
                      <c:h val="0.20626498030811058"/>
                    </c:manualLayout>
                  </c15:layout>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25231843532446374"/>
                      <c:h val="0.20626498030811058"/>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Report'!$A$63:$A$65</c:f>
              <c:strCache>
                <c:ptCount val="2"/>
                <c:pt idx="0">
                  <c:v>Delay</c:v>
                </c:pt>
                <c:pt idx="1">
                  <c:v>Ontime</c:v>
                </c:pt>
              </c:strCache>
            </c:strRef>
          </c:cat>
          <c:val>
            <c:numRef>
              <c:f>'Pivot Report'!$B$63:$B$65</c:f>
              <c:numCache>
                <c:formatCode>0</c:formatCode>
                <c:ptCount val="2"/>
                <c:pt idx="0">
                  <c:v>267</c:v>
                </c:pt>
                <c:pt idx="1">
                  <c:v>197</c:v>
                </c:pt>
              </c:numCache>
            </c:numRef>
          </c:val>
          <c:extLst>
            <c:ext xmlns:c16="http://schemas.microsoft.com/office/drawing/2014/chart" uri="{C3380CC4-5D6E-409C-BE32-E72D297353CC}">
              <c16:uniqueId val="{00000008-7C04-4A62-985A-5894DFB2D6D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2220346775204706E-2"/>
          <c:y val="5.7589618111993014E-2"/>
          <c:w val="0.78416319638528753"/>
          <c:h val="0.136014240634355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.xlsx]Pivot Report!PivotTable10</c:name>
    <c:fmtId val="6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706720773204147"/>
          <c:y val="0.27394198067210462"/>
          <c:w val="0.6002188969798079"/>
          <c:h val="0.67281302575177804"/>
        </c:manualLayout>
      </c:layout>
      <c:doughnutChart>
        <c:varyColors val="1"/>
        <c:ser>
          <c:idx val="0"/>
          <c:order val="0"/>
          <c:tx>
            <c:strRef>
              <c:f>'Pivot Report'!$B$68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0</c:formatCode>
                <c:ptCount val="2"/>
                <c:pt idx="0">
                  <c:v>227</c:v>
                </c:pt>
                <c:pt idx="1">
                  <c:v>237</c:v>
                </c:pt>
              </c:numCache>
            </c:numRef>
          </c:val>
          <c:extLst>
            <c:ext xmlns:c16="http://schemas.microsoft.com/office/drawing/2014/chart" uri="{C3380CC4-5D6E-409C-BE32-E72D297353CC}">
              <c16:uniqueId val="{00000008-FE28-4CCC-B59C-7DE3F7D810E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2690018327529698"/>
          <c:y val="0.14457328099182298"/>
          <c:w val="0.53964564126232917"/>
          <c:h val="0.1040034127050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.xlsx]Pivot Report!PivotTable12</c:name>
    <c:fmtId val="7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65732360546729"/>
          <c:y val="0"/>
          <c:w val="0.75934267639453268"/>
          <c:h val="0.97562368350385409"/>
        </c:manualLayout>
      </c:layout>
      <c:barChart>
        <c:barDir val="bar"/>
        <c:grouping val="clustered"/>
        <c:varyColors val="0"/>
        <c:ser>
          <c:idx val="0"/>
          <c:order val="0"/>
          <c:tx>
            <c:strRef>
              <c:f>'Pivot Report'!$B$75</c:f>
              <c:strCache>
                <c:ptCount val="1"/>
                <c:pt idx="0">
                  <c:v>Total</c:v>
                </c:pt>
              </c:strCache>
            </c:strRef>
          </c:tx>
          <c:spPr>
            <a:solidFill>
              <a:schemeClr val="accent1"/>
            </a:solidFill>
            <a:ln>
              <a:noFill/>
            </a:ln>
            <a:effectLst/>
          </c:spPr>
          <c:invertIfNegative val="0"/>
          <c:cat>
            <c:strRef>
              <c:f>'Pivot Report'!$A$76:$A$84</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Report'!$B$76:$B$84</c:f>
              <c:numCache>
                <c:formatCode>0</c:formatCode>
                <c:ptCount val="8"/>
                <c:pt idx="0">
                  <c:v>2</c:v>
                </c:pt>
                <c:pt idx="1">
                  <c:v>6</c:v>
                </c:pt>
                <c:pt idx="2">
                  <c:v>13</c:v>
                </c:pt>
                <c:pt idx="3">
                  <c:v>14</c:v>
                </c:pt>
                <c:pt idx="4">
                  <c:v>19</c:v>
                </c:pt>
                <c:pt idx="5">
                  <c:v>67</c:v>
                </c:pt>
                <c:pt idx="6">
                  <c:v>91</c:v>
                </c:pt>
                <c:pt idx="7">
                  <c:v>252</c:v>
                </c:pt>
              </c:numCache>
            </c:numRef>
          </c:val>
          <c:extLst>
            <c:ext xmlns:c16="http://schemas.microsoft.com/office/drawing/2014/chart" uri="{C3380CC4-5D6E-409C-BE32-E72D297353CC}">
              <c16:uniqueId val="{00000004-07CA-4BBE-90A7-8BA889492E2C}"/>
            </c:ext>
          </c:extLst>
        </c:ser>
        <c:dLbls>
          <c:showLegendKey val="0"/>
          <c:showVal val="0"/>
          <c:showCatName val="0"/>
          <c:showSerName val="0"/>
          <c:showPercent val="0"/>
          <c:showBubbleSize val="0"/>
        </c:dLbls>
        <c:gapWidth val="182"/>
        <c:axId val="573910992"/>
        <c:axId val="573912912"/>
      </c:barChart>
      <c:catAx>
        <c:axId val="57391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912912"/>
        <c:crosses val="autoZero"/>
        <c:auto val="1"/>
        <c:lblAlgn val="ctr"/>
        <c:lblOffset val="100"/>
        <c:noMultiLvlLbl val="0"/>
      </c:catAx>
      <c:valAx>
        <c:axId val="573912912"/>
        <c:scaling>
          <c:orientation val="minMax"/>
        </c:scaling>
        <c:delete val="1"/>
        <c:axPos val="b"/>
        <c:numFmt formatCode="0" sourceLinked="1"/>
        <c:majorTickMark val="none"/>
        <c:minorTickMark val="none"/>
        <c:tickLblPos val="nextTo"/>
        <c:crossAx val="57391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.xlsx]Pivot Report!PivotTable6</c:name>
    <c:fmtId val="9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Report'!$J$5:$J$35</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2-D242-466A-99D5-2888245E360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9926655"/>
        <c:axId val="119919935"/>
      </c:areaChart>
      <c:catAx>
        <c:axId val="11992665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9919935"/>
        <c:crosses val="autoZero"/>
        <c:auto val="1"/>
        <c:lblAlgn val="ctr"/>
        <c:lblOffset val="100"/>
        <c:noMultiLvlLbl val="0"/>
      </c:catAx>
      <c:valAx>
        <c:axId val="119919935"/>
        <c:scaling>
          <c:orientation val="minMax"/>
        </c:scaling>
        <c:delete val="1"/>
        <c:axPos val="l"/>
        <c:numFmt formatCode="0.00" sourceLinked="1"/>
        <c:majorTickMark val="out"/>
        <c:minorTickMark val="none"/>
        <c:tickLblPos val="nextTo"/>
        <c:crossAx val="1199266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.xlsx]Pivot Report!PivotTable5</c:name>
    <c:fmtId val="6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Report'!$G$5:$G$35</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3-EB85-4D00-9346-16C7F0A77B9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04999439"/>
        <c:axId val="1405001359"/>
      </c:areaChart>
      <c:catAx>
        <c:axId val="14049994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318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405001359"/>
        <c:crosses val="autoZero"/>
        <c:auto val="1"/>
        <c:lblAlgn val="ctr"/>
        <c:lblOffset val="100"/>
        <c:noMultiLvlLbl val="0"/>
      </c:catAx>
      <c:valAx>
        <c:axId val="1405001359"/>
        <c:scaling>
          <c:orientation val="minMax"/>
        </c:scaling>
        <c:delete val="1"/>
        <c:axPos val="l"/>
        <c:numFmt formatCode="0.00" sourceLinked="1"/>
        <c:majorTickMark val="out"/>
        <c:minorTickMark val="none"/>
        <c:tickLblPos val="nextTo"/>
        <c:crossAx val="14049994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.xlsx]Pivot Report!PivotTable2</c:name>
    <c:fmtId val="4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solidFill>
              <a:schemeClr val="accent1">
                <a:lumMod val="75000"/>
              </a:schemeClr>
            </a:soli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Report'!$C$5:$C$35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Report'!$D$5:$D$35</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3-1D51-4A9A-BB99-37CB4266102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85944303"/>
        <c:axId val="1785929903"/>
      </c:areaChart>
      <c:catAx>
        <c:axId val="1785944303"/>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785929903"/>
        <c:crosses val="autoZero"/>
        <c:auto val="1"/>
        <c:lblAlgn val="ctr"/>
        <c:lblOffset val="100"/>
        <c:noMultiLvlLbl val="0"/>
      </c:catAx>
      <c:valAx>
        <c:axId val="1785929903"/>
        <c:scaling>
          <c:orientation val="minMax"/>
        </c:scaling>
        <c:delete val="1"/>
        <c:axPos val="l"/>
        <c:numFmt formatCode="General" sourceLinked="1"/>
        <c:majorTickMark val="out"/>
        <c:minorTickMark val="none"/>
        <c:tickLblPos val="nextTo"/>
        <c:crossAx val="1785944303"/>
        <c:crosses val="autoZero"/>
        <c:crossBetween val="midCat"/>
      </c:valAx>
      <c:spPr>
        <a:solidFill>
          <a:schemeClr val="accent1">
            <a:lumMod val="60000"/>
            <a:lumOff val="4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 Score'!A1"/><Relationship Id="rId17" Type="http://schemas.openxmlformats.org/officeDocument/2006/relationships/image" Target="../media/image8.emf"/><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evage wait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4F99ABC9-7228-85B8-A0F9-E1CF0042D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433986</xdr:colOff>
      <xdr:row>6</xdr:row>
      <xdr:rowOff>27016</xdr:rowOff>
    </xdr:from>
    <xdr:to>
      <xdr:col>3</xdr:col>
      <xdr:colOff>249612</xdr:colOff>
      <xdr:row>11</xdr:row>
      <xdr:rowOff>54573</xdr:rowOff>
    </xdr:to>
    <xdr:sp macro="" textlink="">
      <xdr:nvSpPr>
        <xdr:cNvPr id="7" name="Rectangle: Rounded Corners 6">
          <a:extLst>
            <a:ext uri="{FF2B5EF4-FFF2-40B4-BE49-F238E27FC236}">
              <a16:creationId xmlns:a16="http://schemas.microsoft.com/office/drawing/2014/main" id="{6B6F7909-D58F-AE2A-1B3A-F52F624F7901}"/>
            </a:ext>
          </a:extLst>
        </xdr:cNvPr>
        <xdr:cNvSpPr/>
      </xdr:nvSpPr>
      <xdr:spPr>
        <a:xfrm>
          <a:off x="1043381" y="1133145"/>
          <a:ext cx="1034416" cy="949331"/>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285242</xdr:colOff>
      <xdr:row>6</xdr:row>
      <xdr:rowOff>30869</xdr:rowOff>
    </xdr:from>
    <xdr:to>
      <xdr:col>5</xdr:col>
      <xdr:colOff>303323</xdr:colOff>
      <xdr:row>11</xdr:row>
      <xdr:rowOff>57327</xdr:rowOff>
    </xdr:to>
    <xdr:sp macro="" textlink="">
      <xdr:nvSpPr>
        <xdr:cNvPr id="8" name="Rectangle: Rounded Corners 7">
          <a:extLst>
            <a:ext uri="{FF2B5EF4-FFF2-40B4-BE49-F238E27FC236}">
              <a16:creationId xmlns:a16="http://schemas.microsoft.com/office/drawing/2014/main" id="{061595EF-0D51-1FF0-81C8-F960AB2950B1}"/>
            </a:ext>
          </a:extLst>
        </xdr:cNvPr>
        <xdr:cNvSpPr/>
      </xdr:nvSpPr>
      <xdr:spPr>
        <a:xfrm>
          <a:off x="2110867" y="1142119"/>
          <a:ext cx="1235164" cy="952500"/>
        </a:xfrm>
        <a:prstGeom prst="roundRect">
          <a:avLst>
            <a:gd name="adj" fmla="val 225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351818</xdr:colOff>
      <xdr:row>6</xdr:row>
      <xdr:rowOff>51491</xdr:rowOff>
    </xdr:from>
    <xdr:to>
      <xdr:col>7</xdr:col>
      <xdr:colOff>373530</xdr:colOff>
      <xdr:row>11</xdr:row>
      <xdr:rowOff>65974</xdr:rowOff>
    </xdr:to>
    <xdr:sp macro="" textlink="">
      <xdr:nvSpPr>
        <xdr:cNvPr id="9" name="Rectangle: Rounded Corners 8">
          <a:extLst>
            <a:ext uri="{FF2B5EF4-FFF2-40B4-BE49-F238E27FC236}">
              <a16:creationId xmlns:a16="http://schemas.microsoft.com/office/drawing/2014/main" id="{F351DF19-3514-2DD2-C557-954C4654DD49}"/>
            </a:ext>
          </a:extLst>
        </xdr:cNvPr>
        <xdr:cNvSpPr/>
      </xdr:nvSpPr>
      <xdr:spPr>
        <a:xfrm>
          <a:off x="3403117" y="1140062"/>
          <a:ext cx="1242231" cy="921626"/>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241031</xdr:colOff>
      <xdr:row>1</xdr:row>
      <xdr:rowOff>56045</xdr:rowOff>
    </xdr:from>
    <xdr:to>
      <xdr:col>5</xdr:col>
      <xdr:colOff>559892</xdr:colOff>
      <xdr:row>3</xdr:row>
      <xdr:rowOff>6827</xdr:rowOff>
    </xdr:to>
    <xdr:sp macro="" textlink="">
      <xdr:nvSpPr>
        <xdr:cNvPr id="18" name="TextBox 17">
          <a:extLst>
            <a:ext uri="{FF2B5EF4-FFF2-40B4-BE49-F238E27FC236}">
              <a16:creationId xmlns:a16="http://schemas.microsoft.com/office/drawing/2014/main" id="{4E204FB9-23BB-E2D4-184D-D5CAC3CE05A9}"/>
            </a:ext>
          </a:extLst>
        </xdr:cNvPr>
        <xdr:cNvSpPr txBox="1"/>
      </xdr:nvSpPr>
      <xdr:spPr>
        <a:xfrm>
          <a:off x="848719" y="240400"/>
          <a:ext cx="2749614" cy="31949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solidFill>
                <a:schemeClr val="dk1"/>
              </a:solidFill>
              <a:effectLst/>
              <a:latin typeface="+mn-lt"/>
              <a:ea typeface="+mn-ea"/>
              <a:cs typeface="+mn-cs"/>
            </a:rPr>
            <a:t>Hospital Emergency Room Dashboard </a:t>
          </a:r>
          <a:endParaRPr lang="en-IN" sz="1400">
            <a:effectLst/>
          </a:endParaRPr>
        </a:p>
      </xdr:txBody>
    </xdr:sp>
    <xdr:clientData/>
  </xdr:twoCellAnchor>
  <xdr:twoCellAnchor editAs="oneCell">
    <xdr:from>
      <xdr:col>0</xdr:col>
      <xdr:colOff>182405</xdr:colOff>
      <xdr:row>1</xdr:row>
      <xdr:rowOff>139658</xdr:rowOff>
    </xdr:from>
    <xdr:to>
      <xdr:col>1</xdr:col>
      <xdr:colOff>184738</xdr:colOff>
      <xdr:row>5</xdr:row>
      <xdr:rowOff>8245</xdr:rowOff>
    </xdr:to>
    <xdr:pic>
      <xdr:nvPicPr>
        <xdr:cNvPr id="20" name="Picture 19">
          <a:extLst>
            <a:ext uri="{FF2B5EF4-FFF2-40B4-BE49-F238E27FC236}">
              <a16:creationId xmlns:a16="http://schemas.microsoft.com/office/drawing/2014/main" id="{7A89D677-131C-BA38-3788-33913CA51A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405" y="321087"/>
          <a:ext cx="612593" cy="594301"/>
        </a:xfrm>
        <a:prstGeom prst="rect">
          <a:avLst/>
        </a:prstGeom>
      </xdr:spPr>
    </xdr:pic>
    <xdr:clientData/>
  </xdr:twoCellAnchor>
  <xdr:twoCellAnchor editAs="absolute">
    <xdr:from>
      <xdr:col>1</xdr:col>
      <xdr:colOff>472806</xdr:colOff>
      <xdr:row>2</xdr:row>
      <xdr:rowOff>148913</xdr:rowOff>
    </xdr:from>
    <xdr:to>
      <xdr:col>5</xdr:col>
      <xdr:colOff>272278</xdr:colOff>
      <xdr:row>5</xdr:row>
      <xdr:rowOff>60515</xdr:rowOff>
    </xdr:to>
    <xdr:sp macro="" textlink="">
      <xdr:nvSpPr>
        <xdr:cNvPr id="23" name="TextBox 22">
          <a:extLst>
            <a:ext uri="{FF2B5EF4-FFF2-40B4-BE49-F238E27FC236}">
              <a16:creationId xmlns:a16="http://schemas.microsoft.com/office/drawing/2014/main" id="{9E5A97E8-A905-335B-C154-4BC3B1761512}"/>
            </a:ext>
          </a:extLst>
        </xdr:cNvPr>
        <xdr:cNvSpPr txBox="1"/>
      </xdr:nvSpPr>
      <xdr:spPr>
        <a:xfrm>
          <a:off x="1079955" y="516545"/>
          <a:ext cx="2228069" cy="46304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a:solidFill>
                <a:schemeClr val="dk1"/>
              </a:solidFill>
              <a:effectLst/>
              <a:latin typeface="+mn-lt"/>
              <a:ea typeface="+mn-ea"/>
              <a:cs typeface="+mn-cs"/>
            </a:rPr>
            <a:t>Monthly Report </a:t>
          </a:r>
          <a:endParaRPr lang="en-IN" sz="1600">
            <a:effectLst/>
          </a:endParaRPr>
        </a:p>
      </xdr:txBody>
    </xdr:sp>
    <xdr:clientData/>
  </xdr:twoCellAnchor>
  <xdr:twoCellAnchor editAs="absolute">
    <xdr:from>
      <xdr:col>1</xdr:col>
      <xdr:colOff>574712</xdr:colOff>
      <xdr:row>8</xdr:row>
      <xdr:rowOff>1564</xdr:rowOff>
    </xdr:from>
    <xdr:to>
      <xdr:col>3</xdr:col>
      <xdr:colOff>178348</xdr:colOff>
      <xdr:row>9</xdr:row>
      <xdr:rowOff>30416</xdr:rowOff>
    </xdr:to>
    <xdr:sp macro="" textlink="">
      <xdr:nvSpPr>
        <xdr:cNvPr id="24" name="TextBox 23">
          <a:extLst>
            <a:ext uri="{FF2B5EF4-FFF2-40B4-BE49-F238E27FC236}">
              <a16:creationId xmlns:a16="http://schemas.microsoft.com/office/drawing/2014/main" id="{23EF94CB-5F36-3812-CF06-48FC462FB9C1}"/>
            </a:ext>
          </a:extLst>
        </xdr:cNvPr>
        <xdr:cNvSpPr txBox="1"/>
      </xdr:nvSpPr>
      <xdr:spPr>
        <a:xfrm>
          <a:off x="1185942" y="1466576"/>
          <a:ext cx="826096" cy="21416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effectLst/>
              <a:latin typeface="+mn-lt"/>
              <a:ea typeface="+mn-ea"/>
              <a:cs typeface="+mn-cs"/>
            </a:rPr>
            <a:t>No.of</a:t>
          </a:r>
          <a:r>
            <a:rPr lang="en-IN" sz="1100" baseline="0">
              <a:solidFill>
                <a:schemeClr val="dk1"/>
              </a:solidFill>
              <a:effectLst/>
              <a:latin typeface="+mn-lt"/>
              <a:ea typeface="+mn-ea"/>
              <a:cs typeface="+mn-cs"/>
            </a:rPr>
            <a:t> patient</a:t>
          </a:r>
          <a:endParaRPr lang="en-IN">
            <a:effectLst/>
          </a:endParaRPr>
        </a:p>
      </xdr:txBody>
    </xdr:sp>
    <xdr:clientData/>
  </xdr:twoCellAnchor>
  <xdr:twoCellAnchor editAs="absolute">
    <xdr:from>
      <xdr:col>2</xdr:col>
      <xdr:colOff>181215</xdr:colOff>
      <xdr:row>6</xdr:row>
      <xdr:rowOff>118850</xdr:rowOff>
    </xdr:from>
    <xdr:to>
      <xdr:col>2</xdr:col>
      <xdr:colOff>493774</xdr:colOff>
      <xdr:row>7</xdr:row>
      <xdr:rowOff>95573</xdr:rowOff>
    </xdr:to>
    <xdr:sp macro="" textlink="'Pivot Report'!A5">
      <xdr:nvSpPr>
        <xdr:cNvPr id="27" name="TextBox 26">
          <a:extLst>
            <a:ext uri="{FF2B5EF4-FFF2-40B4-BE49-F238E27FC236}">
              <a16:creationId xmlns:a16="http://schemas.microsoft.com/office/drawing/2014/main" id="{7B8672DD-6BCB-8DBF-DD96-EA043F846E1D}"/>
            </a:ext>
          </a:extLst>
        </xdr:cNvPr>
        <xdr:cNvSpPr txBox="1"/>
      </xdr:nvSpPr>
      <xdr:spPr>
        <a:xfrm>
          <a:off x="1403675" y="1219064"/>
          <a:ext cx="312559" cy="16009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814FABC-DCA2-4DE4-B6F9-844A6F8CE638}" type="TxLink">
            <a:rPr lang="en-US" sz="1100" b="0" i="0" u="none" strike="noStrike">
              <a:solidFill>
                <a:srgbClr val="000000"/>
              </a:solidFill>
              <a:effectLst/>
              <a:latin typeface="Calibri"/>
              <a:ea typeface="Calibri"/>
              <a:cs typeface="Calibri"/>
            </a:rPr>
            <a:pPr/>
            <a:t>464</a:t>
          </a:fld>
          <a:endParaRPr lang="en-IN">
            <a:effectLst/>
          </a:endParaRPr>
        </a:p>
      </xdr:txBody>
    </xdr:sp>
    <xdr:clientData/>
  </xdr:twoCellAnchor>
  <xdr:twoCellAnchor editAs="absolute">
    <xdr:from>
      <xdr:col>3</xdr:col>
      <xdr:colOff>427036</xdr:colOff>
      <xdr:row>7</xdr:row>
      <xdr:rowOff>179671</xdr:rowOff>
    </xdr:from>
    <xdr:to>
      <xdr:col>5</xdr:col>
      <xdr:colOff>296780</xdr:colOff>
      <xdr:row>8</xdr:row>
      <xdr:rowOff>172472</xdr:rowOff>
    </xdr:to>
    <xdr:sp macro="" textlink="">
      <xdr:nvSpPr>
        <xdr:cNvPr id="28" name="TextBox 27">
          <a:extLst>
            <a:ext uri="{FF2B5EF4-FFF2-40B4-BE49-F238E27FC236}">
              <a16:creationId xmlns:a16="http://schemas.microsoft.com/office/drawing/2014/main" id="{10BBDCE0-59DE-90F3-999B-A6817395926C}"/>
            </a:ext>
          </a:extLst>
        </xdr:cNvPr>
        <xdr:cNvSpPr txBox="1"/>
      </xdr:nvSpPr>
      <xdr:spPr>
        <a:xfrm>
          <a:off x="2250101" y="1470155"/>
          <a:ext cx="1085120" cy="1771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a:effectLst/>
            </a:rPr>
            <a:t>Average Wait Time</a:t>
          </a:r>
        </a:p>
      </xdr:txBody>
    </xdr:sp>
    <xdr:clientData/>
  </xdr:twoCellAnchor>
  <xdr:twoCellAnchor editAs="absolute">
    <xdr:from>
      <xdr:col>4</xdr:col>
      <xdr:colOff>255939</xdr:colOff>
      <xdr:row>6</xdr:row>
      <xdr:rowOff>133408</xdr:rowOff>
    </xdr:from>
    <xdr:to>
      <xdr:col>4</xdr:col>
      <xdr:colOff>568498</xdr:colOff>
      <xdr:row>7</xdr:row>
      <xdr:rowOff>126209</xdr:rowOff>
    </xdr:to>
    <xdr:sp macro="" textlink="'Pivot Report'!A10">
      <xdr:nvSpPr>
        <xdr:cNvPr id="29" name="TextBox 28">
          <a:extLst>
            <a:ext uri="{FF2B5EF4-FFF2-40B4-BE49-F238E27FC236}">
              <a16:creationId xmlns:a16="http://schemas.microsoft.com/office/drawing/2014/main" id="{7AEAA7D4-F6A4-12B0-11D1-2DF58577E34B}"/>
            </a:ext>
          </a:extLst>
        </xdr:cNvPr>
        <xdr:cNvSpPr txBox="1"/>
      </xdr:nvSpPr>
      <xdr:spPr>
        <a:xfrm>
          <a:off x="2686692" y="1239537"/>
          <a:ext cx="312559" cy="1771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BFC5AD1-5AB3-4329-A67B-21BF454F7908}" type="TxLink">
            <a:rPr lang="en-US" sz="1100" b="0" i="0" u="none" strike="noStrike">
              <a:solidFill>
                <a:srgbClr val="000000"/>
              </a:solidFill>
              <a:effectLst/>
              <a:latin typeface="Calibri"/>
              <a:ea typeface="Calibri"/>
              <a:cs typeface="Calibri"/>
            </a:rPr>
            <a:pPr/>
            <a:t>35.19</a:t>
          </a:fld>
          <a:endParaRPr lang="en-IN">
            <a:effectLst/>
          </a:endParaRPr>
        </a:p>
      </xdr:txBody>
    </xdr:sp>
    <xdr:clientData/>
  </xdr:twoCellAnchor>
  <xdr:twoCellAnchor editAs="absolute">
    <xdr:from>
      <xdr:col>5</xdr:col>
      <xdr:colOff>383716</xdr:colOff>
      <xdr:row>7</xdr:row>
      <xdr:rowOff>179974</xdr:rowOff>
    </xdr:from>
    <xdr:to>
      <xdr:col>7</xdr:col>
      <xdr:colOff>370134</xdr:colOff>
      <xdr:row>8</xdr:row>
      <xdr:rowOff>179973</xdr:rowOff>
    </xdr:to>
    <xdr:sp macro="" textlink="">
      <xdr:nvSpPr>
        <xdr:cNvPr id="30" name="TextBox 29">
          <a:extLst>
            <a:ext uri="{FF2B5EF4-FFF2-40B4-BE49-F238E27FC236}">
              <a16:creationId xmlns:a16="http://schemas.microsoft.com/office/drawing/2014/main" id="{312FB720-7958-D68E-9071-46DDF999BE4F}"/>
            </a:ext>
          </a:extLst>
        </xdr:cNvPr>
        <xdr:cNvSpPr txBox="1"/>
      </xdr:nvSpPr>
      <xdr:spPr>
        <a:xfrm>
          <a:off x="3439866" y="1463557"/>
          <a:ext cx="1208878" cy="18336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solidFill>
                <a:schemeClr val="dk1"/>
              </a:solidFill>
              <a:effectLst/>
              <a:latin typeface="+mn-lt"/>
              <a:ea typeface="+mn-ea"/>
              <a:cs typeface="+mn-cs"/>
            </a:rPr>
            <a:t>Patient Satisfaction</a:t>
          </a:r>
          <a:r>
            <a:rPr lang="en-IN" sz="900" baseline="0">
              <a:solidFill>
                <a:schemeClr val="dk1"/>
              </a:solidFill>
              <a:effectLst/>
              <a:latin typeface="+mn-lt"/>
              <a:ea typeface="+mn-ea"/>
              <a:cs typeface="+mn-cs"/>
            </a:rPr>
            <a:t> Score</a:t>
          </a:r>
          <a:endParaRPr lang="en-IN" sz="900">
            <a:effectLst/>
          </a:endParaRPr>
        </a:p>
      </xdr:txBody>
    </xdr:sp>
    <xdr:clientData/>
  </xdr:twoCellAnchor>
  <xdr:twoCellAnchor editAs="absolute">
    <xdr:from>
      <xdr:col>6</xdr:col>
      <xdr:colOff>254642</xdr:colOff>
      <xdr:row>6</xdr:row>
      <xdr:rowOff>106169</xdr:rowOff>
    </xdr:from>
    <xdr:to>
      <xdr:col>6</xdr:col>
      <xdr:colOff>567201</xdr:colOff>
      <xdr:row>7</xdr:row>
      <xdr:rowOff>98970</xdr:rowOff>
    </xdr:to>
    <xdr:sp macro="" textlink="'Pivot Report'!A13">
      <xdr:nvSpPr>
        <xdr:cNvPr id="31" name="TextBox 30">
          <a:extLst>
            <a:ext uri="{FF2B5EF4-FFF2-40B4-BE49-F238E27FC236}">
              <a16:creationId xmlns:a16="http://schemas.microsoft.com/office/drawing/2014/main" id="{173133AC-F24E-59A9-F827-D6A3292AE570}"/>
            </a:ext>
          </a:extLst>
        </xdr:cNvPr>
        <xdr:cNvSpPr txBox="1"/>
      </xdr:nvSpPr>
      <xdr:spPr>
        <a:xfrm>
          <a:off x="3922022" y="1206383"/>
          <a:ext cx="312559" cy="17617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53369D4-B690-4DCB-836E-6C482F472101}" type="TxLink">
            <a:rPr lang="en-US" sz="1100" b="0" i="0" u="none" strike="noStrike">
              <a:solidFill>
                <a:srgbClr val="000000"/>
              </a:solidFill>
              <a:effectLst/>
              <a:latin typeface="Calibri"/>
              <a:ea typeface="Calibri"/>
              <a:cs typeface="Calibri"/>
            </a:rPr>
            <a:pPr/>
            <a:t>5.09</a:t>
          </a:fld>
          <a:endParaRPr lang="en-IN">
            <a:effectLst/>
          </a:endParaRPr>
        </a:p>
      </xdr:txBody>
    </xdr:sp>
    <xdr:clientData/>
  </xdr:twoCellAnchor>
  <xdr:twoCellAnchor editAs="oneCell">
    <xdr:from>
      <xdr:col>1</xdr:col>
      <xdr:colOff>497526</xdr:colOff>
      <xdr:row>6</xdr:row>
      <xdr:rowOff>60762</xdr:rowOff>
    </xdr:from>
    <xdr:to>
      <xdr:col>2</xdr:col>
      <xdr:colOff>170872</xdr:colOff>
      <xdr:row>7</xdr:row>
      <xdr:rowOff>161568</xdr:rowOff>
    </xdr:to>
    <xdr:pic>
      <xdr:nvPicPr>
        <xdr:cNvPr id="33" name="Graphic 32" descr="User with solid fill">
          <a:extLst>
            <a:ext uri="{FF2B5EF4-FFF2-40B4-BE49-F238E27FC236}">
              <a16:creationId xmlns:a16="http://schemas.microsoft.com/office/drawing/2014/main" id="{D30379A8-B043-B8C2-2A6B-45C038409B7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06224" y="1165437"/>
          <a:ext cx="282044" cy="284918"/>
        </a:xfrm>
        <a:prstGeom prst="rect">
          <a:avLst/>
        </a:prstGeom>
      </xdr:spPr>
    </xdr:pic>
    <xdr:clientData/>
  </xdr:twoCellAnchor>
  <xdr:twoCellAnchor editAs="oneCell">
    <xdr:from>
      <xdr:col>5</xdr:col>
      <xdr:colOff>424587</xdr:colOff>
      <xdr:row>6</xdr:row>
      <xdr:rowOff>63876</xdr:rowOff>
    </xdr:from>
    <xdr:to>
      <xdr:col>6</xdr:col>
      <xdr:colOff>184113</xdr:colOff>
      <xdr:row>8</xdr:row>
      <xdr:rowOff>19435</xdr:rowOff>
    </xdr:to>
    <xdr:pic>
      <xdr:nvPicPr>
        <xdr:cNvPr id="35" name="Graphic 34" descr="Customer review with solid fill">
          <a:extLst>
            <a:ext uri="{FF2B5EF4-FFF2-40B4-BE49-F238E27FC236}">
              <a16:creationId xmlns:a16="http://schemas.microsoft.com/office/drawing/2014/main" id="{6C665872-9FE2-25D2-F159-7067C1383AF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68078" y="1168551"/>
          <a:ext cx="368224" cy="323783"/>
        </a:xfrm>
        <a:prstGeom prst="rect">
          <a:avLst/>
        </a:prstGeom>
      </xdr:spPr>
    </xdr:pic>
    <xdr:clientData/>
  </xdr:twoCellAnchor>
  <xdr:twoCellAnchor editAs="oneCell">
    <xdr:from>
      <xdr:col>3</xdr:col>
      <xdr:colOff>387011</xdr:colOff>
      <xdr:row>6</xdr:row>
      <xdr:rowOff>67634</xdr:rowOff>
    </xdr:from>
    <xdr:to>
      <xdr:col>4</xdr:col>
      <xdr:colOff>56360</xdr:colOff>
      <xdr:row>7</xdr:row>
      <xdr:rowOff>163248</xdr:rowOff>
    </xdr:to>
    <xdr:pic>
      <xdr:nvPicPr>
        <xdr:cNvPr id="37" name="Graphic 36" descr="Hourglass Finished with solid fill">
          <a:extLst>
            <a:ext uri="{FF2B5EF4-FFF2-40B4-BE49-F238E27FC236}">
              <a16:creationId xmlns:a16="http://schemas.microsoft.com/office/drawing/2014/main" id="{51FCD7D7-1263-298F-0743-B3D7D416458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13106" y="1172309"/>
          <a:ext cx="278047" cy="279726"/>
        </a:xfrm>
        <a:prstGeom prst="rect">
          <a:avLst/>
        </a:prstGeom>
      </xdr:spPr>
    </xdr:pic>
    <xdr:clientData/>
  </xdr:twoCellAnchor>
  <xdr:twoCellAnchor>
    <xdr:from>
      <xdr:col>0</xdr:col>
      <xdr:colOff>124926</xdr:colOff>
      <xdr:row>6</xdr:row>
      <xdr:rowOff>27385</xdr:rowOff>
    </xdr:from>
    <xdr:to>
      <xdr:col>1</xdr:col>
      <xdr:colOff>306586</xdr:colOff>
      <xdr:row>23</xdr:row>
      <xdr:rowOff>20159</xdr:rowOff>
    </xdr:to>
    <mc:AlternateContent xmlns:mc="http://schemas.openxmlformats.org/markup-compatibility/2006">
      <mc:Choice xmlns:a14="http://schemas.microsoft.com/office/drawing/2010/main" Requires="a14">
        <xdr:graphicFrame macro="">
          <xdr:nvGraphicFramePr>
            <xdr:cNvPr id="12" name="Date (Month)">
              <a:extLst>
                <a:ext uri="{FF2B5EF4-FFF2-40B4-BE49-F238E27FC236}">
                  <a16:creationId xmlns:a16="http://schemas.microsoft.com/office/drawing/2014/main" id="{7E8F7BCE-1034-4106-BE4E-2744A97FF97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24926" y="1115956"/>
              <a:ext cx="793981" cy="3077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435991</xdr:colOff>
      <xdr:row>9</xdr:row>
      <xdr:rowOff>39688</xdr:rowOff>
    </xdr:from>
    <xdr:to>
      <xdr:col>3</xdr:col>
      <xdr:colOff>259600</xdr:colOff>
      <xdr:row>11</xdr:row>
      <xdr:rowOff>65001</xdr:rowOff>
    </xdr:to>
    <xdr:graphicFrame macro="">
      <xdr:nvGraphicFramePr>
        <xdr:cNvPr id="19" name="Chart 18">
          <a:hlinkClick xmlns:r="http://schemas.openxmlformats.org/officeDocument/2006/relationships" r:id="rId8"/>
          <a:extLst>
            <a:ext uri="{FF2B5EF4-FFF2-40B4-BE49-F238E27FC236}">
              <a16:creationId xmlns:a16="http://schemas.microsoft.com/office/drawing/2014/main" id="{5921BD86-EEE5-4853-A47A-0FE930662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375537</xdr:colOff>
      <xdr:row>9</xdr:row>
      <xdr:rowOff>8248</xdr:rowOff>
    </xdr:from>
    <xdr:to>
      <xdr:col>5</xdr:col>
      <xdr:colOff>305131</xdr:colOff>
      <xdr:row>11</xdr:row>
      <xdr:rowOff>57729</xdr:rowOff>
    </xdr:to>
    <xdr:graphicFrame macro="">
      <xdr:nvGraphicFramePr>
        <xdr:cNvPr id="13" name="Chart 12">
          <a:hlinkClick xmlns:r="http://schemas.openxmlformats.org/officeDocument/2006/relationships" r:id="rId10"/>
          <a:extLst>
            <a:ext uri="{FF2B5EF4-FFF2-40B4-BE49-F238E27FC236}">
              <a16:creationId xmlns:a16="http://schemas.microsoft.com/office/drawing/2014/main" id="{278D1C33-5AC9-4FAF-90D4-5B798D560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362857</xdr:colOff>
      <xdr:row>8</xdr:row>
      <xdr:rowOff>153080</xdr:rowOff>
    </xdr:from>
    <xdr:to>
      <xdr:col>7</xdr:col>
      <xdr:colOff>371104</xdr:colOff>
      <xdr:row>11</xdr:row>
      <xdr:rowOff>76970</xdr:rowOff>
    </xdr:to>
    <xdr:graphicFrame macro="">
      <xdr:nvGraphicFramePr>
        <xdr:cNvPr id="15" name="Chart 14">
          <a:hlinkClick xmlns:r="http://schemas.openxmlformats.org/officeDocument/2006/relationships" r:id="rId12"/>
          <a:extLst>
            <a:ext uri="{FF2B5EF4-FFF2-40B4-BE49-F238E27FC236}">
              <a16:creationId xmlns:a16="http://schemas.microsoft.com/office/drawing/2014/main" id="{F9D523B7-C27B-4584-A36E-786BF57B1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498929</xdr:colOff>
      <xdr:row>16</xdr:row>
      <xdr:rowOff>6685</xdr:rowOff>
    </xdr:from>
    <xdr:to>
      <xdr:col>7</xdr:col>
      <xdr:colOff>307258</xdr:colOff>
      <xdr:row>23</xdr:row>
      <xdr:rowOff>106947</xdr:rowOff>
    </xdr:to>
    <xdr:graphicFrame macro="">
      <xdr:nvGraphicFramePr>
        <xdr:cNvPr id="41" name="Chart 40">
          <a:extLst>
            <a:ext uri="{FF2B5EF4-FFF2-40B4-BE49-F238E27FC236}">
              <a16:creationId xmlns:a16="http://schemas.microsoft.com/office/drawing/2014/main" id="{C162D715-B8D9-434B-BD66-E825CC50B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48314</xdr:colOff>
      <xdr:row>15</xdr:row>
      <xdr:rowOff>16592</xdr:rowOff>
    </xdr:from>
    <xdr:to>
      <xdr:col>10</xdr:col>
      <xdr:colOff>196760</xdr:colOff>
      <xdr:row>23</xdr:row>
      <xdr:rowOff>90297</xdr:rowOff>
    </xdr:to>
    <xdr:graphicFrame macro="">
      <xdr:nvGraphicFramePr>
        <xdr:cNvPr id="42" name="Chart 41">
          <a:extLst>
            <a:ext uri="{FF2B5EF4-FFF2-40B4-BE49-F238E27FC236}">
              <a16:creationId xmlns:a16="http://schemas.microsoft.com/office/drawing/2014/main" id="{DBE1727D-B181-4FEC-BDBE-9B6C63B20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290142</xdr:colOff>
      <xdr:row>14</xdr:row>
      <xdr:rowOff>40967</xdr:rowOff>
    </xdr:from>
    <xdr:to>
      <xdr:col>13</xdr:col>
      <xdr:colOff>478276</xdr:colOff>
      <xdr:row>23</xdr:row>
      <xdr:rowOff>180488</xdr:rowOff>
    </xdr:to>
    <xdr:graphicFrame macro="">
      <xdr:nvGraphicFramePr>
        <xdr:cNvPr id="43" name="Chart 42">
          <a:extLst>
            <a:ext uri="{FF2B5EF4-FFF2-40B4-BE49-F238E27FC236}">
              <a16:creationId xmlns:a16="http://schemas.microsoft.com/office/drawing/2014/main" id="{C17B1B8D-E7B4-421D-A904-5CDFF4C0E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3</xdr:col>
      <xdr:colOff>162575</xdr:colOff>
      <xdr:row>23</xdr:row>
      <xdr:rowOff>76262</xdr:rowOff>
    </xdr:from>
    <xdr:to>
      <xdr:col>5</xdr:col>
      <xdr:colOff>501599</xdr:colOff>
      <xdr:row>24</xdr:row>
      <xdr:rowOff>63936</xdr:rowOff>
    </xdr:to>
    <xdr:sp macro="" textlink="">
      <xdr:nvSpPr>
        <xdr:cNvPr id="46" name="TextBox 45">
          <a:extLst>
            <a:ext uri="{FF2B5EF4-FFF2-40B4-BE49-F238E27FC236}">
              <a16:creationId xmlns:a16="http://schemas.microsoft.com/office/drawing/2014/main" id="{CF6701F1-13F3-13E8-CE9F-993727B9F449}"/>
            </a:ext>
          </a:extLst>
        </xdr:cNvPr>
        <xdr:cNvSpPr txBox="1"/>
      </xdr:nvSpPr>
      <xdr:spPr>
        <a:xfrm>
          <a:off x="1985640" y="4316423"/>
          <a:ext cx="1554400" cy="1720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effectLst/>
              <a:latin typeface="+mn-lt"/>
              <a:ea typeface="+mn-ea"/>
              <a:cs typeface="+mn-cs"/>
            </a:rPr>
            <a:t>No.of</a:t>
          </a:r>
          <a:r>
            <a:rPr lang="en-IN" sz="1100" baseline="0">
              <a:solidFill>
                <a:schemeClr val="dk1"/>
              </a:solidFill>
              <a:effectLst/>
              <a:latin typeface="+mn-lt"/>
              <a:ea typeface="+mn-ea"/>
              <a:cs typeface="+mn-cs"/>
            </a:rPr>
            <a:t> Patient by Age group</a:t>
          </a:r>
          <a:endParaRPr lang="en-IN">
            <a:effectLst/>
          </a:endParaRPr>
        </a:p>
      </xdr:txBody>
    </xdr:sp>
    <xdr:clientData/>
  </xdr:twoCellAnchor>
  <xdr:twoCellAnchor editAs="absolute">
    <xdr:from>
      <xdr:col>9</xdr:col>
      <xdr:colOff>89582</xdr:colOff>
      <xdr:row>13</xdr:row>
      <xdr:rowOff>46368</xdr:rowOff>
    </xdr:from>
    <xdr:to>
      <xdr:col>12</xdr:col>
      <xdr:colOff>430160</xdr:colOff>
      <xdr:row>14</xdr:row>
      <xdr:rowOff>40968</xdr:rowOff>
    </xdr:to>
    <xdr:sp macro="" textlink="">
      <xdr:nvSpPr>
        <xdr:cNvPr id="47" name="TextBox 46">
          <a:extLst>
            <a:ext uri="{FF2B5EF4-FFF2-40B4-BE49-F238E27FC236}">
              <a16:creationId xmlns:a16="http://schemas.microsoft.com/office/drawing/2014/main" id="{6FEAA7EC-D4DC-A2C2-0822-2D5D9480BD5F}"/>
            </a:ext>
          </a:extLst>
        </xdr:cNvPr>
        <xdr:cNvSpPr txBox="1"/>
      </xdr:nvSpPr>
      <xdr:spPr>
        <a:xfrm>
          <a:off x="5558776" y="2442981"/>
          <a:ext cx="2163642" cy="17895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effectLst/>
              <a:latin typeface="+mn-lt"/>
              <a:ea typeface="+mn-ea"/>
              <a:cs typeface="+mn-cs"/>
            </a:rPr>
            <a:t>No.of</a:t>
          </a:r>
          <a:r>
            <a:rPr lang="en-IN" sz="1100" baseline="0">
              <a:solidFill>
                <a:schemeClr val="dk1"/>
              </a:solidFill>
              <a:effectLst/>
              <a:latin typeface="+mn-lt"/>
              <a:ea typeface="+mn-ea"/>
              <a:cs typeface="+mn-cs"/>
            </a:rPr>
            <a:t> patient by Department  Referal </a:t>
          </a:r>
          <a:endParaRPr lang="en-IN">
            <a:effectLst/>
          </a:endParaRPr>
        </a:p>
      </xdr:txBody>
    </xdr:sp>
    <xdr:clientData/>
  </xdr:twoCellAnchor>
  <xdr:twoCellAnchor editAs="absolute">
    <xdr:from>
      <xdr:col>8</xdr:col>
      <xdr:colOff>75280</xdr:colOff>
      <xdr:row>23</xdr:row>
      <xdr:rowOff>70643</xdr:rowOff>
    </xdr:from>
    <xdr:to>
      <xdr:col>10</xdr:col>
      <xdr:colOff>129093</xdr:colOff>
      <xdr:row>24</xdr:row>
      <xdr:rowOff>58317</xdr:rowOff>
    </xdr:to>
    <xdr:sp macro="" textlink="">
      <xdr:nvSpPr>
        <xdr:cNvPr id="48" name="TextBox 47">
          <a:extLst>
            <a:ext uri="{FF2B5EF4-FFF2-40B4-BE49-F238E27FC236}">
              <a16:creationId xmlns:a16="http://schemas.microsoft.com/office/drawing/2014/main" id="{718974E6-7451-545B-6C92-2B3690A7CD01}"/>
            </a:ext>
          </a:extLst>
        </xdr:cNvPr>
        <xdr:cNvSpPr txBox="1"/>
      </xdr:nvSpPr>
      <xdr:spPr>
        <a:xfrm>
          <a:off x="4936785" y="4310804"/>
          <a:ext cx="1269190" cy="1720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effectLst/>
              <a:latin typeface="+mn-lt"/>
              <a:ea typeface="+mn-ea"/>
              <a:cs typeface="+mn-cs"/>
            </a:rPr>
            <a:t>Patient</a:t>
          </a:r>
          <a:r>
            <a:rPr lang="en-IN" sz="1100" baseline="0">
              <a:solidFill>
                <a:schemeClr val="dk1"/>
              </a:solidFill>
              <a:effectLst/>
              <a:latin typeface="+mn-lt"/>
              <a:ea typeface="+mn-ea"/>
              <a:cs typeface="+mn-cs"/>
            </a:rPr>
            <a:t> Attend Status</a:t>
          </a:r>
          <a:endParaRPr lang="en-IN">
            <a:effectLst/>
          </a:endParaRPr>
        </a:p>
      </xdr:txBody>
    </xdr:sp>
    <xdr:clientData/>
  </xdr:twoCellAnchor>
  <xdr:twoCellAnchor editAs="absolute">
    <xdr:from>
      <xdr:col>11</xdr:col>
      <xdr:colOff>142002</xdr:colOff>
      <xdr:row>23</xdr:row>
      <xdr:rowOff>98098</xdr:rowOff>
    </xdr:from>
    <xdr:to>
      <xdr:col>13</xdr:col>
      <xdr:colOff>152764</xdr:colOff>
      <xdr:row>24</xdr:row>
      <xdr:rowOff>85772</xdr:rowOff>
    </xdr:to>
    <xdr:sp macro="" textlink="">
      <xdr:nvSpPr>
        <xdr:cNvPr id="49" name="TextBox 48">
          <a:extLst>
            <a:ext uri="{FF2B5EF4-FFF2-40B4-BE49-F238E27FC236}">
              <a16:creationId xmlns:a16="http://schemas.microsoft.com/office/drawing/2014/main" id="{FE701766-4C72-C379-75CA-FA6718628340}"/>
            </a:ext>
          </a:extLst>
        </xdr:cNvPr>
        <xdr:cNvSpPr txBox="1"/>
      </xdr:nvSpPr>
      <xdr:spPr>
        <a:xfrm>
          <a:off x="6826572" y="4338259"/>
          <a:ext cx="1226138" cy="1720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effectLst/>
              <a:latin typeface="+mn-lt"/>
              <a:ea typeface="+mn-ea"/>
              <a:cs typeface="+mn-cs"/>
            </a:rPr>
            <a:t>Gender</a:t>
          </a:r>
          <a:r>
            <a:rPr lang="en-IN" sz="1100" baseline="0">
              <a:solidFill>
                <a:schemeClr val="dk1"/>
              </a:solidFill>
              <a:effectLst/>
              <a:latin typeface="+mn-lt"/>
              <a:ea typeface="+mn-ea"/>
              <a:cs typeface="+mn-cs"/>
            </a:rPr>
            <a:t> wise Analysis </a:t>
          </a:r>
          <a:endParaRPr lang="en-IN">
            <a:effectLst/>
          </a:endParaRPr>
        </a:p>
      </xdr:txBody>
    </xdr:sp>
    <xdr:clientData/>
  </xdr:twoCellAnchor>
  <mc:AlternateContent xmlns:mc="http://schemas.openxmlformats.org/markup-compatibility/2006">
    <mc:Choice xmlns:a14="http://schemas.microsoft.com/office/drawing/2010/main" Requires="a14">
      <xdr:twoCellAnchor editAs="oneCell">
        <xdr:from>
          <xdr:col>1</xdr:col>
          <xdr:colOff>443816</xdr:colOff>
          <xdr:row>12</xdr:row>
          <xdr:rowOff>0</xdr:rowOff>
        </xdr:from>
        <xdr:to>
          <xdr:col>7</xdr:col>
          <xdr:colOff>380216</xdr:colOff>
          <xdr:row>15</xdr:row>
          <xdr:rowOff>6350</xdr:rowOff>
        </xdr:to>
        <xdr:pic>
          <xdr:nvPicPr>
            <xdr:cNvPr id="71" name="Picture 70">
              <a:extLst>
                <a:ext uri="{FF2B5EF4-FFF2-40B4-BE49-F238E27FC236}">
                  <a16:creationId xmlns:a16="http://schemas.microsoft.com/office/drawing/2014/main" id="{333A402E-37F3-346F-82F5-55708445A0EF}"/>
                </a:ext>
              </a:extLst>
            </xdr:cNvPr>
            <xdr:cNvPicPr>
              <a:picLocks noChangeAspect="1" noChangeArrowheads="1"/>
              <a:extLst>
                <a:ext uri="{84589F7E-364E-4C9E-8A38-B11213B215E9}">
                  <a14:cameraTool cellRange="'Pivot Report'!$A$46:$C$48" spid="_x0000_s1097"/>
                </a:ext>
              </a:extLst>
            </xdr:cNvPicPr>
          </xdr:nvPicPr>
          <xdr:blipFill>
            <a:blip xmlns:r="http://schemas.openxmlformats.org/officeDocument/2006/relationships" r:embed="rId17"/>
            <a:srcRect/>
            <a:stretch>
              <a:fillRect/>
            </a:stretch>
          </xdr:blipFill>
          <xdr:spPr bwMode="auto">
            <a:xfrm>
              <a:off x="1051504" y="2212258"/>
              <a:ext cx="3582529" cy="55941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75108</xdr:colOff>
      <xdr:row>3</xdr:row>
      <xdr:rowOff>27311</xdr:rowOff>
    </xdr:from>
    <xdr:to>
      <xdr:col>13</xdr:col>
      <xdr:colOff>13656</xdr:colOff>
      <xdr:row>13</xdr:row>
      <xdr:rowOff>40967</xdr:rowOff>
    </xdr:to>
    <xdr:graphicFrame macro="">
      <xdr:nvGraphicFramePr>
        <xdr:cNvPr id="72" name="Chart 71">
          <a:extLst>
            <a:ext uri="{FF2B5EF4-FFF2-40B4-BE49-F238E27FC236}">
              <a16:creationId xmlns:a16="http://schemas.microsoft.com/office/drawing/2014/main" id="{1397EBEC-5661-4F4F-ADE2-C4CEB6FB3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6</xdr:col>
      <xdr:colOff>211667</xdr:colOff>
      <xdr:row>1</xdr:row>
      <xdr:rowOff>47796</xdr:rowOff>
    </xdr:from>
    <xdr:to>
      <xdr:col>7</xdr:col>
      <xdr:colOff>293602</xdr:colOff>
      <xdr:row>4</xdr:row>
      <xdr:rowOff>170699</xdr:rowOff>
    </xdr:to>
    <mc:AlternateContent xmlns:mc="http://schemas.openxmlformats.org/markup-compatibility/2006">
      <mc:Choice xmlns:a14="http://schemas.microsoft.com/office/drawing/2010/main" Requires="a14">
        <xdr:graphicFrame macro="">
          <xdr:nvGraphicFramePr>
            <xdr:cNvPr id="73" name="Date (Year)">
              <a:extLst>
                <a:ext uri="{FF2B5EF4-FFF2-40B4-BE49-F238E27FC236}">
                  <a16:creationId xmlns:a16="http://schemas.microsoft.com/office/drawing/2014/main" id="{5D10F68F-100B-4FCC-9044-1478BC63638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885596" y="229225"/>
              <a:ext cx="694256" cy="667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34140</xdr:colOff>
      <xdr:row>0</xdr:row>
      <xdr:rowOff>40968</xdr:rowOff>
    </xdr:from>
    <xdr:to>
      <xdr:col>13</xdr:col>
      <xdr:colOff>512097</xdr:colOff>
      <xdr:row>25</xdr:row>
      <xdr:rowOff>116075</xdr:rowOff>
    </xdr:to>
    <xdr:sp macro="" textlink="">
      <xdr:nvSpPr>
        <xdr:cNvPr id="75" name="Rectangle 74">
          <a:extLst>
            <a:ext uri="{FF2B5EF4-FFF2-40B4-BE49-F238E27FC236}">
              <a16:creationId xmlns:a16="http://schemas.microsoft.com/office/drawing/2014/main" id="{13627C50-B9D1-8A23-A0FF-74527AA1D28A}"/>
            </a:ext>
          </a:extLst>
        </xdr:cNvPr>
        <xdr:cNvSpPr/>
      </xdr:nvSpPr>
      <xdr:spPr>
        <a:xfrm>
          <a:off x="34140" y="40968"/>
          <a:ext cx="8377903" cy="468397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512098</xdr:colOff>
      <xdr:row>0</xdr:row>
      <xdr:rowOff>143387</xdr:rowOff>
    </xdr:from>
    <xdr:to>
      <xdr:col>13</xdr:col>
      <xdr:colOff>355055</xdr:colOff>
      <xdr:row>14</xdr:row>
      <xdr:rowOff>170699</xdr:rowOff>
    </xdr:to>
    <xdr:sp macro="" textlink="">
      <xdr:nvSpPr>
        <xdr:cNvPr id="76" name="Rectangle 75">
          <a:extLst>
            <a:ext uri="{FF2B5EF4-FFF2-40B4-BE49-F238E27FC236}">
              <a16:creationId xmlns:a16="http://schemas.microsoft.com/office/drawing/2014/main" id="{948BFDF9-A3B0-E488-AE1A-8E86927138DF}"/>
            </a:ext>
          </a:extLst>
        </xdr:cNvPr>
        <xdr:cNvSpPr/>
      </xdr:nvSpPr>
      <xdr:spPr>
        <a:xfrm>
          <a:off x="4765915" y="143387"/>
          <a:ext cx="3489086" cy="26082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525751</xdr:colOff>
      <xdr:row>15</xdr:row>
      <xdr:rowOff>61452</xdr:rowOff>
    </xdr:from>
    <xdr:to>
      <xdr:col>10</xdr:col>
      <xdr:colOff>252633</xdr:colOff>
      <xdr:row>24</xdr:row>
      <xdr:rowOff>95593</xdr:rowOff>
    </xdr:to>
    <xdr:sp macro="" textlink="">
      <xdr:nvSpPr>
        <xdr:cNvPr id="77" name="Rectangle 76">
          <a:extLst>
            <a:ext uri="{FF2B5EF4-FFF2-40B4-BE49-F238E27FC236}">
              <a16:creationId xmlns:a16="http://schemas.microsoft.com/office/drawing/2014/main" id="{46DA14CF-B057-6C7D-4560-96435F6B8AE5}"/>
            </a:ext>
          </a:extLst>
        </xdr:cNvPr>
        <xdr:cNvSpPr/>
      </xdr:nvSpPr>
      <xdr:spPr>
        <a:xfrm>
          <a:off x="4779568" y="2826775"/>
          <a:ext cx="1549947" cy="169333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546236</xdr:colOff>
      <xdr:row>15</xdr:row>
      <xdr:rowOff>54623</xdr:rowOff>
    </xdr:from>
    <xdr:to>
      <xdr:col>13</xdr:col>
      <xdr:colOff>341400</xdr:colOff>
      <xdr:row>24</xdr:row>
      <xdr:rowOff>88764</xdr:rowOff>
    </xdr:to>
    <xdr:sp macro="" textlink="">
      <xdr:nvSpPr>
        <xdr:cNvPr id="78" name="Rectangle 77">
          <a:extLst>
            <a:ext uri="{FF2B5EF4-FFF2-40B4-BE49-F238E27FC236}">
              <a16:creationId xmlns:a16="http://schemas.microsoft.com/office/drawing/2014/main" id="{1FC4282D-18D4-4B01-A452-CE5A482CF47B}"/>
            </a:ext>
          </a:extLst>
        </xdr:cNvPr>
        <xdr:cNvSpPr/>
      </xdr:nvSpPr>
      <xdr:spPr>
        <a:xfrm>
          <a:off x="6623118" y="2819946"/>
          <a:ext cx="1618228" cy="169333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450645</xdr:colOff>
      <xdr:row>15</xdr:row>
      <xdr:rowOff>109247</xdr:rowOff>
    </xdr:from>
    <xdr:to>
      <xdr:col>7</xdr:col>
      <xdr:colOff>375537</xdr:colOff>
      <xdr:row>24</xdr:row>
      <xdr:rowOff>95592</xdr:rowOff>
    </xdr:to>
    <xdr:sp macro="" textlink="">
      <xdr:nvSpPr>
        <xdr:cNvPr id="79" name="Rectangle 78">
          <a:extLst>
            <a:ext uri="{FF2B5EF4-FFF2-40B4-BE49-F238E27FC236}">
              <a16:creationId xmlns:a16="http://schemas.microsoft.com/office/drawing/2014/main" id="{6E951F12-A84F-4B11-A255-2ECCC0E899E3}"/>
            </a:ext>
          </a:extLst>
        </xdr:cNvPr>
        <xdr:cNvSpPr/>
      </xdr:nvSpPr>
      <xdr:spPr>
        <a:xfrm>
          <a:off x="1058333" y="2874570"/>
          <a:ext cx="3571021" cy="164553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430161</xdr:colOff>
      <xdr:row>6</xdr:row>
      <xdr:rowOff>54624</xdr:rowOff>
    </xdr:from>
    <xdr:to>
      <xdr:col>3</xdr:col>
      <xdr:colOff>262980</xdr:colOff>
      <xdr:row>11</xdr:row>
      <xdr:rowOff>61452</xdr:rowOff>
    </xdr:to>
    <xdr:sp macro="" textlink="">
      <xdr:nvSpPr>
        <xdr:cNvPr id="80" name="Rectangle 79">
          <a:extLst>
            <a:ext uri="{FF2B5EF4-FFF2-40B4-BE49-F238E27FC236}">
              <a16:creationId xmlns:a16="http://schemas.microsoft.com/office/drawing/2014/main" id="{DA660249-4B7F-4624-BF0D-415638DAF112}"/>
            </a:ext>
          </a:extLst>
        </xdr:cNvPr>
        <xdr:cNvSpPr/>
      </xdr:nvSpPr>
      <xdr:spPr>
        <a:xfrm>
          <a:off x="1039504" y="1170685"/>
          <a:ext cx="1051506" cy="93687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378434</xdr:colOff>
      <xdr:row>6</xdr:row>
      <xdr:rowOff>56474</xdr:rowOff>
    </xdr:from>
    <xdr:to>
      <xdr:col>5</xdr:col>
      <xdr:colOff>293600</xdr:colOff>
      <xdr:row>11</xdr:row>
      <xdr:rowOff>61452</xdr:rowOff>
    </xdr:to>
    <xdr:sp macro="" textlink="">
      <xdr:nvSpPr>
        <xdr:cNvPr id="81" name="Rectangle 80">
          <a:extLst>
            <a:ext uri="{FF2B5EF4-FFF2-40B4-BE49-F238E27FC236}">
              <a16:creationId xmlns:a16="http://schemas.microsoft.com/office/drawing/2014/main" id="{A60F1635-57EC-4006-AB11-4F929F2D394E}"/>
            </a:ext>
          </a:extLst>
        </xdr:cNvPr>
        <xdr:cNvSpPr/>
      </xdr:nvSpPr>
      <xdr:spPr>
        <a:xfrm>
          <a:off x="2206464" y="1172535"/>
          <a:ext cx="1133853" cy="93502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361882</xdr:colOff>
      <xdr:row>6</xdr:row>
      <xdr:rowOff>54623</xdr:rowOff>
    </xdr:from>
    <xdr:to>
      <xdr:col>7</xdr:col>
      <xdr:colOff>368710</xdr:colOff>
      <xdr:row>11</xdr:row>
      <xdr:rowOff>64142</xdr:rowOff>
    </xdr:to>
    <xdr:sp macro="" textlink="">
      <xdr:nvSpPr>
        <xdr:cNvPr id="82" name="Rectangle 81">
          <a:extLst>
            <a:ext uri="{FF2B5EF4-FFF2-40B4-BE49-F238E27FC236}">
              <a16:creationId xmlns:a16="http://schemas.microsoft.com/office/drawing/2014/main" id="{5A8D3870-1D33-46DC-93C6-919CC42977B4}"/>
            </a:ext>
          </a:extLst>
        </xdr:cNvPr>
        <xdr:cNvSpPr/>
      </xdr:nvSpPr>
      <xdr:spPr>
        <a:xfrm>
          <a:off x="3408599" y="1170684"/>
          <a:ext cx="1225515" cy="93956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450645</xdr:colOff>
      <xdr:row>11</xdr:row>
      <xdr:rowOff>184354</xdr:rowOff>
    </xdr:from>
    <xdr:to>
      <xdr:col>7</xdr:col>
      <xdr:colOff>382366</xdr:colOff>
      <xdr:row>15</xdr:row>
      <xdr:rowOff>13655</xdr:rowOff>
    </xdr:to>
    <xdr:sp macro="" textlink="">
      <xdr:nvSpPr>
        <xdr:cNvPr id="83" name="Rectangle 82">
          <a:extLst>
            <a:ext uri="{FF2B5EF4-FFF2-40B4-BE49-F238E27FC236}">
              <a16:creationId xmlns:a16="http://schemas.microsoft.com/office/drawing/2014/main" id="{80206C85-6C64-4649-8BCE-DE6256658A29}"/>
            </a:ext>
          </a:extLst>
        </xdr:cNvPr>
        <xdr:cNvSpPr/>
      </xdr:nvSpPr>
      <xdr:spPr>
        <a:xfrm>
          <a:off x="1058333" y="2212257"/>
          <a:ext cx="3577850" cy="56672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116075</xdr:colOff>
      <xdr:row>6</xdr:row>
      <xdr:rowOff>20484</xdr:rowOff>
    </xdr:from>
    <xdr:to>
      <xdr:col>1</xdr:col>
      <xdr:colOff>307258</xdr:colOff>
      <xdr:row>23</xdr:row>
      <xdr:rowOff>34140</xdr:rowOff>
    </xdr:to>
    <xdr:sp macro="" textlink="">
      <xdr:nvSpPr>
        <xdr:cNvPr id="84" name="Rectangle 83">
          <a:extLst>
            <a:ext uri="{FF2B5EF4-FFF2-40B4-BE49-F238E27FC236}">
              <a16:creationId xmlns:a16="http://schemas.microsoft.com/office/drawing/2014/main" id="{E535624D-4F64-4A9C-AB03-50C2E4D452CC}"/>
            </a:ext>
          </a:extLst>
        </xdr:cNvPr>
        <xdr:cNvSpPr/>
      </xdr:nvSpPr>
      <xdr:spPr>
        <a:xfrm>
          <a:off x="116075" y="1126613"/>
          <a:ext cx="798871" cy="314768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122903</xdr:colOff>
      <xdr:row>0</xdr:row>
      <xdr:rowOff>150395</xdr:rowOff>
    </xdr:from>
    <xdr:to>
      <xdr:col>6</xdr:col>
      <xdr:colOff>34140</xdr:colOff>
      <xdr:row>5</xdr:row>
      <xdr:rowOff>1</xdr:rowOff>
    </xdr:to>
    <xdr:sp macro="" textlink="">
      <xdr:nvSpPr>
        <xdr:cNvPr id="85" name="Rectangle 84">
          <a:extLst>
            <a:ext uri="{FF2B5EF4-FFF2-40B4-BE49-F238E27FC236}">
              <a16:creationId xmlns:a16="http://schemas.microsoft.com/office/drawing/2014/main" id="{469BA2FC-6106-467C-9475-C8FCACEFC7BE}"/>
            </a:ext>
          </a:extLst>
        </xdr:cNvPr>
        <xdr:cNvSpPr/>
      </xdr:nvSpPr>
      <xdr:spPr>
        <a:xfrm>
          <a:off x="122903" y="150395"/>
          <a:ext cx="3554132" cy="76868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204839</xdr:colOff>
      <xdr:row>1</xdr:row>
      <xdr:rowOff>61451</xdr:rowOff>
    </xdr:from>
    <xdr:to>
      <xdr:col>7</xdr:col>
      <xdr:colOff>279946</xdr:colOff>
      <xdr:row>4</xdr:row>
      <xdr:rowOff>157042</xdr:rowOff>
    </xdr:to>
    <xdr:sp macro="" textlink="">
      <xdr:nvSpPr>
        <xdr:cNvPr id="86" name="Rectangle 85">
          <a:extLst>
            <a:ext uri="{FF2B5EF4-FFF2-40B4-BE49-F238E27FC236}">
              <a16:creationId xmlns:a16="http://schemas.microsoft.com/office/drawing/2014/main" id="{758B9A03-DB9B-4FD1-A648-5F76883C90F0}"/>
            </a:ext>
          </a:extLst>
        </xdr:cNvPr>
        <xdr:cNvSpPr/>
      </xdr:nvSpPr>
      <xdr:spPr>
        <a:xfrm>
          <a:off x="3850968" y="245806"/>
          <a:ext cx="682795" cy="64865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168672</xdr:colOff>
      <xdr:row>1</xdr:row>
      <xdr:rowOff>1</xdr:rowOff>
    </xdr:from>
    <xdr:to>
      <xdr:col>5</xdr:col>
      <xdr:colOff>565547</xdr:colOff>
      <xdr:row>2</xdr:row>
      <xdr:rowOff>99219</xdr:rowOff>
    </xdr:to>
    <xdr:sp macro="" textlink="">
      <xdr:nvSpPr>
        <xdr:cNvPr id="87" name="Rectangle 86">
          <a:extLst>
            <a:ext uri="{FF2B5EF4-FFF2-40B4-BE49-F238E27FC236}">
              <a16:creationId xmlns:a16="http://schemas.microsoft.com/office/drawing/2014/main" id="{B4356BC3-38E9-4376-B282-3BAD83FBD27E}"/>
            </a:ext>
          </a:extLst>
        </xdr:cNvPr>
        <xdr:cNvSpPr/>
      </xdr:nvSpPr>
      <xdr:spPr>
        <a:xfrm>
          <a:off x="773906" y="188517"/>
          <a:ext cx="2817813" cy="28773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0</xdr:colOff>
      <xdr:row>21</xdr:row>
      <xdr:rowOff>6350</xdr:rowOff>
    </xdr:to>
    <xdr:graphicFrame macro="">
      <xdr:nvGraphicFramePr>
        <xdr:cNvPr id="2" name="Chart 1">
          <a:extLst>
            <a:ext uri="{FF2B5EF4-FFF2-40B4-BE49-F238E27FC236}">
              <a16:creationId xmlns:a16="http://schemas.microsoft.com/office/drawing/2014/main" id="{1DB96AC7-1B64-4D77-8A01-CED54966C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0.06771</cdr:x>
      <cdr:y>0.14918</cdr:y>
    </cdr:to>
    <cdr:pic>
      <cdr:nvPicPr>
        <cdr:cNvPr id="3" name="Graphic 2" descr="Back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2199681-7409-166D-0494-3EE8C899B9C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77850" cy="57785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127000</xdr:colOff>
      <xdr:row>24</xdr:row>
      <xdr:rowOff>152400</xdr:rowOff>
    </xdr:to>
    <xdr:graphicFrame macro="">
      <xdr:nvGraphicFramePr>
        <xdr:cNvPr id="2" name="Chart 1">
          <a:extLst>
            <a:ext uri="{FF2B5EF4-FFF2-40B4-BE49-F238E27FC236}">
              <a16:creationId xmlns:a16="http://schemas.microsoft.com/office/drawing/2014/main" id="{ECF6CD9F-9739-4E1B-A2DB-B9D5CE85B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95988</xdr:colOff>
      <xdr:row>3</xdr:row>
      <xdr:rowOff>155058</xdr:rowOff>
    </xdr:to>
    <xdr:pic>
      <xdr:nvPicPr>
        <xdr:cNvPr id="4" name="Graphic 3" descr="Back with solid fill">
          <a:hlinkClick xmlns:r="http://schemas.openxmlformats.org/officeDocument/2006/relationships" r:id="rId2"/>
          <a:extLst>
            <a:ext uri="{FF2B5EF4-FFF2-40B4-BE49-F238E27FC236}">
              <a16:creationId xmlns:a16="http://schemas.microsoft.com/office/drawing/2014/main" id="{6A796F79-E588-C93A-E483-9AEA3E72FA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708837" cy="70883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31357</xdr:colOff>
      <xdr:row>25</xdr:row>
      <xdr:rowOff>148951</xdr:rowOff>
    </xdr:to>
    <xdr:graphicFrame macro="">
      <xdr:nvGraphicFramePr>
        <xdr:cNvPr id="2" name="Chart 1">
          <a:extLst>
            <a:ext uri="{FF2B5EF4-FFF2-40B4-BE49-F238E27FC236}">
              <a16:creationId xmlns:a16="http://schemas.microsoft.com/office/drawing/2014/main" id="{EC243455-2215-4335-8FEF-F9ECECA82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0.07528</cdr:x>
      <cdr:y>0.13805</cdr:y>
    </cdr:to>
    <cdr:pic>
      <cdr:nvPicPr>
        <cdr:cNvPr id="3" name="Graphic 2" descr="Back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E7FB115-7A20-1D8D-CC97-21A0A76AFF5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784862" cy="642840"/>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Nathe" refreshedDate="46038.544473379632" createdVersion="8" refreshedVersion="8" minRefreshableVersion="3" recordCount="2" xr:uid="{1A752C2D-2575-492A-AD53-DC11B63F230C}">
  <cacheSource type="worksheet">
    <worksheetSource ref="A46:C48" sheet="Pivot Report"/>
  </cacheSource>
  <cacheFields count="3">
    <cacheField name="Admission Status" numFmtId="0">
      <sharedItems/>
    </cacheField>
    <cacheField name="No.of Patient" numFmtId="2">
      <sharedItems containsSemiMixedTypes="0" containsString="0" containsNumber="1" containsInteger="1" minValue="495" maxValue="504"/>
    </cacheField>
    <cacheField name="%Status" numFmtId="9">
      <sharedItems containsSemiMixedTypes="0" containsString="0" containsNumber="1" minValue="0.49549549549549549" maxValue="0.5045045045045044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38.814400925927" createdVersion="5" refreshedVersion="8" minRefreshableVersion="3" recordCount="0" supportSubquery="1" supportAdvancedDrill="1" xr:uid="{86C8274F-B43F-4656-BB8C-7F0A8F9B08CA}">
  <cacheSource type="external" connectionId="4"/>
  <cacheFields count="4">
    <cacheField name="[Measures].[Distinct Count of Patient Id]" caption="Distinct Count of Patient Id" numFmtId="0" hierarchy="25" level="32767"/>
    <cacheField name="[Calenda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38.814401388889" createdVersion="5" refreshedVersion="8" minRefreshableVersion="3" recordCount="0" supportSubquery="1" supportAdvancedDrill="1" xr:uid="{85F970EE-ADB9-4480-9655-B307AD001E99}">
  <cacheSource type="external" connectionId="4"/>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38.814401620373" createdVersion="5" refreshedVersion="8" minRefreshableVersion="3" recordCount="0" supportSubquery="1" supportAdvancedDrill="1" xr:uid="{7241411F-7593-4FCD-9A8F-6F0BF2ED68DF}">
  <cacheSource type="external" connectionId="4"/>
  <cacheFields count="3">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38.814401967589" createdVersion="5" refreshedVersion="8" minRefreshableVersion="3" recordCount="0" supportSubquery="1" supportAdvancedDrill="1" xr:uid="{BCE0598E-9214-4F61-94B3-14B257676CF8}">
  <cacheSource type="external" connectionId="4"/>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38.814402546297" createdVersion="5" refreshedVersion="8" minRefreshableVersion="3" recordCount="0" supportSubquery="1" supportAdvancedDrill="1" xr:uid="{96432421-88B9-40B6-BAE0-15ACC0F04729}">
  <cacheSource type="external" connectionId="4"/>
  <cacheFields count="4">
    <cacheField name="[Calenda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38.814403240744" createdVersion="5" refreshedVersion="8" minRefreshableVersion="3" recordCount="0" supportSubquery="1" supportAdvancedDrill="1" xr:uid="{F261A4AE-F9EB-44A6-898E-2007A667729E}">
  <cacheSource type="external" connectionId="4"/>
  <cacheFields count="4">
    <cacheField name="[Calenda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38.814403935183" createdVersion="5" refreshedVersion="8" minRefreshableVersion="3" recordCount="0" supportSubquery="1" supportAdvancedDrill="1" xr:uid="{1D3BAFB3-0CBA-4E57-94C4-2B5F21B776CB}">
  <cacheSource type="external" connectionId="4"/>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Measures].[Count of Patient Admission Flag_1]" caption="Count of Patient Admission Flag_1" numFmtId="0" hierarchy="31"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38.814404629629" createdVersion="5" refreshedVersion="8" minRefreshableVersion="3" recordCount="0" supportSubquery="1" supportAdvancedDrill="1" xr:uid="{23739674-9792-4600-A825-FFDE478D4438}">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7"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38.814405439814" createdVersion="5" refreshedVersion="8" minRefreshableVersion="3" recordCount="0" supportSubquery="1" supportAdvancedDrill="1" xr:uid="{A5073C21-9E5A-4BCD-A045-9F29839844A6}">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38.814406134261" createdVersion="5" refreshedVersion="8" minRefreshableVersion="3" recordCount="0" supportSubquery="1" supportAdvancedDrill="1" xr:uid="{BCDDBBFC-22A6-465C-AD0F-F546723BE14B}">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38.814406712961" createdVersion="5" refreshedVersion="8" minRefreshableVersion="3" recordCount="0" supportSubquery="1" supportAdvancedDrill="1" xr:uid="{0932D9AB-D5AE-4C5B-9222-0A185321AD92}">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38.814407175923" createdVersion="5" refreshedVersion="8" minRefreshableVersion="3" recordCount="0" supportSubquery="1" supportAdvancedDrill="1" xr:uid="{05A09157-7B85-4E5F-ABFA-782231C149C9}">
  <cacheSource type="external" connectionId="4"/>
  <cacheFields count="4">
    <cacheField name="[Calendar_Table].[Date (Month)].[Date (Month)]" caption="Date (Month)" numFmtId="0" hierarchy="1" level="1">
      <sharedItems count="1">
        <s v="Feb"/>
      </sharedItems>
    </cacheField>
    <cacheField name="[Calenda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38.591952546296" createdVersion="3" refreshedVersion="8" minRefreshableVersion="3" recordCount="0" supportSubquery="1" supportAdvancedDrill="1" xr:uid="{5ED4DF48-F121-4F34-BCB8-C006E4E51721}">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439726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s v="Not Admitted"/>
    <n v="504"/>
    <n v="0.49549549549549549"/>
  </r>
  <r>
    <s v="Admitted"/>
    <n v="495"/>
    <n v="0.504504504504504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3B8050-DFC1-4AB7-866A-B27601AFD44E}" name="PivotTable11" cacheId="12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3">
    <pivotField showAll="0"/>
    <pivotField numFmtId="2" showAll="0"/>
    <pivotField numFmtId="9"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071DD3-1AAA-4E11-8554-03BDC2A6AD23}" name="PivotTable13" cacheId="2778" applyNumberFormats="0" applyBorderFormats="0" applyFontFormats="0" applyPatternFormats="0" applyAlignmentFormats="0" applyWidthHeightFormats="1" dataCaption="Values" tag="bf6c6aa7-7204-4335-acdd-33e840eb985d" updatedVersion="8" minRefreshableVersion="3" subtotalHiddenItems="1" itemPrintTitles="1" createdVersion="5" indent="0" outline="1" outlineData="1" multipleFieldFilters="0" chartFormat="78">
  <location ref="D76:D7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43">
      <pivotArea outline="0" collapsedLevelsAreSubtotals="1" fieldPosition="0"/>
    </format>
  </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9F9131-5BCF-44F7-A875-C3B770ED1C4E}" name="PivotTable12" cacheId="2775" applyNumberFormats="0" applyBorderFormats="0" applyFontFormats="0" applyPatternFormats="0" applyAlignmentFormats="0" applyWidthHeightFormats="1" dataCaption="Values" tag="bf6c6aa7-7204-4335-acdd-33e840eb985d" updatedVersion="8" minRefreshableVersion="3" subtotalHiddenItems="1" itemPrintTitles="1" createdVersion="5" indent="0" outline="1" outlineData="1" multipleFieldFilters="0" chartFormat="78">
  <location ref="A75:B8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1">
    <format dxfId="144">
      <pivotArea outline="0" collapsedLevelsAreSubtotals="1" fieldPosition="0"/>
    </format>
  </formats>
  <chartFormats count="1">
    <chartFormat chart="7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A4A5FE-36BC-4CA3-9F36-EFBECB25F074}" name="PivotTable10" cacheId="2772" applyNumberFormats="0" applyBorderFormats="0" applyFontFormats="0" applyPatternFormats="0" applyAlignmentFormats="0" applyWidthHeightFormats="1" dataCaption="Values" tag="bf6c6aa7-7204-4335-acdd-33e840eb985d" updatedVersion="8" minRefreshableVersion="3" subtotalHiddenItems="1" itemPrintTitles="1" createdVersion="5" indent="0" outline="1" outlineData="1" multipleFieldFilters="0" chartFormat="73">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45">
      <pivotArea outline="0" collapsedLevelsAreSubtotals="1" fieldPosition="0"/>
    </format>
  </formats>
  <chartFormats count="3">
    <chartFormat chart="69" format="4" series="1">
      <pivotArea type="data" outline="0" fieldPosition="0">
        <references count="1">
          <reference field="4294967294" count="1" selected="0">
            <x v="0"/>
          </reference>
        </references>
      </pivotArea>
    </chartFormat>
    <chartFormat chart="69" format="5">
      <pivotArea type="data" outline="0" fieldPosition="0">
        <references count="2">
          <reference field="4294967294" count="1" selected="0">
            <x v="0"/>
          </reference>
          <reference field="1" count="1" selected="0">
            <x v="0"/>
          </reference>
        </references>
      </pivotArea>
    </chartFormat>
    <chartFormat chart="69"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D93600-A0D0-4092-A53B-0341131E3EEE}" name="PivotTable9" cacheId="2769" applyNumberFormats="0" applyBorderFormats="0" applyFontFormats="0" applyPatternFormats="0" applyAlignmentFormats="0" applyWidthHeightFormats="1" dataCaption="Values" tag="bf6c6aa7-7204-4335-acdd-33e840eb985d" updatedVersion="8" minRefreshableVersion="3" subtotalHiddenItems="1" itemPrintTitles="1" createdVersion="5" indent="0" outline="1" outlineData="1" multipleFieldFilters="0" chartFormat="67">
  <location ref="A62: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46">
      <pivotArea outline="0" collapsedLevelsAreSubtotals="1" fieldPosition="0"/>
    </format>
  </formats>
  <chartFormats count="3">
    <chartFormat chart="57" format="4" series="1">
      <pivotArea type="data" outline="0" fieldPosition="0">
        <references count="1">
          <reference field="4294967294" count="1" selected="0">
            <x v="0"/>
          </reference>
        </references>
      </pivotArea>
    </chartFormat>
    <chartFormat chart="57" format="5">
      <pivotArea type="data" outline="0" fieldPosition="0">
        <references count="2">
          <reference field="4294967294" count="1" selected="0">
            <x v="0"/>
          </reference>
          <reference field="1" count="1" selected="0">
            <x v="0"/>
          </reference>
        </references>
      </pivotArea>
    </chartFormat>
    <chartFormat chart="57"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7681AF-D455-4BDE-B4A3-15A9456F855F}" name="PivotTable8" cacheId="2766" applyNumberFormats="0" applyBorderFormats="0" applyFontFormats="0" applyPatternFormats="0" applyAlignmentFormats="0" applyWidthHeightFormats="1" dataCaption="Values" tag="bf6c6aa7-7204-4335-acdd-33e840eb985d" updatedVersion="8" minRefreshableVersion="3" subtotalHiddenItems="1" itemPrintTitles="1" createdVersion="5" indent="0" outline="1" outlineData="1" multipleFieldFilters="0" chartFormat="54">
  <location ref="A51: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47">
      <pivotArea outline="0" collapsedLevelsAreSubtotals="1" fieldPosition="0"/>
    </format>
  </formats>
  <chartFormats count="1">
    <chartFormat chart="4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D69518-3A6D-4644-8EEF-1E777BA3B953}" name="PivotTable7" cacheId="2763" applyNumberFormats="0" applyBorderFormats="0" applyFontFormats="0" applyPatternFormats="0" applyAlignmentFormats="0" applyWidthHeightFormats="1" dataCaption="Values" tag="bf6c6aa7-7204-4335-acdd-33e840eb985d" updatedVersion="8" minRefreshableVersion="3" subtotalHiddenItems="1" itemPrintTitles="1" createdVersion="5" indent="0" outline="1" outlineData="1" multipleFieldFilters="0" chartFormat="140">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Count of Patient Admission Flag_1" fld="3" subtotal="count" baseField="0" baseItem="0"/>
    <dataField name="Count of Patient Admission Flag" fld="1" subtotal="count" showDataAs="percentOfTotal" baseField="0" baseItem="0" numFmtId="10"/>
  </dataFields>
  <formats count="2">
    <format dxfId="148">
      <pivotArea outline="0" collapsedLevelsAreSubtotals="1" fieldPosition="0"/>
    </format>
    <format dxfId="149">
      <pivotArea outline="0" fieldPosition="0">
        <references count="1">
          <reference field="4294967294" count="1">
            <x v="1"/>
          </reference>
        </references>
      </pivotArea>
    </format>
  </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B52E22-A215-48DE-A565-BE498D6021E3}" name="PivotTable4" cacheId="2754" applyNumberFormats="0" applyBorderFormats="0" applyFontFormats="0" applyPatternFormats="0" applyAlignmentFormats="0" applyWidthHeightFormats="1" dataCaption="Values" tag="bf6c6aa7-7204-4335-acdd-33e840eb985d"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52">
      <pivotArea outline="0" collapsedLevelsAreSubtotals="1" fieldPosition="0"/>
    </format>
  </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848B2B-3780-4E3B-94C7-4F4FF02AD22D}" name="PivotTable6" cacheId="2760" applyNumberFormats="0" applyBorderFormats="0" applyFontFormats="0" applyPatternFormats="0" applyAlignmentFormats="0" applyWidthHeightFormats="1" dataCaption="Values" tag="ad4e30d5-f08e-4f5d-9524-edd3325bf40c" updatedVersion="8" minRefreshableVersion="3" subtotalHiddenItems="1" itemPrintTitles="1" createdVersion="5" indent="0" outline="1" outlineData="1" multipleFieldFilters="0" chartFormat="94">
  <location ref="I4:J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50">
      <pivotArea outline="0" collapsedLevelsAreSubtotals="1" fieldPosition="0"/>
    </format>
  </formats>
  <chartFormats count="4">
    <chartFormat chart="88" format="1" series="1">
      <pivotArea type="data" outline="0" fieldPosition="0">
        <references count="1">
          <reference field="4294967294" count="1" selected="0">
            <x v="0"/>
          </reference>
        </references>
      </pivotArea>
    </chartFormat>
    <chartFormat chart="89" format="2" series="1">
      <pivotArea type="data" outline="0" fieldPosition="0">
        <references count="1">
          <reference field="4294967294" count="1" selected="0">
            <x v="0"/>
          </reference>
        </references>
      </pivotArea>
    </chartFormat>
    <chartFormat chart="90" format="2"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0"/>
          </reference>
        </references>
      </pivotArea>
    </chartFormat>
  </chartFormats>
  <pivotHierarchies count="36">
    <pivotHierarchy multipleItemSelectionAllowed="1"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9E8083-1E86-4E7C-838D-76294C844A90}" name="PivotTable5" cacheId="2757" applyNumberFormats="0" applyBorderFormats="0" applyFontFormats="0" applyPatternFormats="0" applyAlignmentFormats="0" applyWidthHeightFormats="1" dataCaption="Values" tag="ad4e30d5-f08e-4f5d-9524-edd3325bf40c" updatedVersion="8" minRefreshableVersion="3" subtotalHiddenItems="1" itemPrintTitles="1" createdVersion="5" indent="0" outline="1" outlineData="1" multipleFieldFilters="0" chartFormat="88">
  <location ref="F4:G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51">
      <pivotArea outline="0" collapsedLevelsAreSubtotals="1" fieldPosition="0"/>
    </format>
  </formats>
  <chartFormats count="2">
    <chartFormat chart="58" format="2" series="1">
      <pivotArea type="data" outline="0" fieldPosition="0">
        <references count="1">
          <reference field="4294967294" count="1" selected="0">
            <x v="0"/>
          </reference>
        </references>
      </pivotArea>
    </chartFormat>
    <chartFormat chart="63" format="6" series="1">
      <pivotArea type="data" outline="0" fieldPosition="0">
        <references count="1">
          <reference field="4294967294" count="1" selected="0">
            <x v="0"/>
          </reference>
        </references>
      </pivotArea>
    </chartFormat>
  </chartFormats>
  <pivotHierarchies count="36">
    <pivotHierarchy multipleItemSelectionAllowed="1"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6E55FF-92F1-480D-81C5-0B948FB17611}" name="PivotTable2" cacheId="2745" applyNumberFormats="0" applyBorderFormats="0" applyFontFormats="0" applyPatternFormats="0" applyAlignmentFormats="0" applyWidthHeightFormats="1" dataCaption="Values" tag="ad4e30d5-f08e-4f5d-9524-edd3325bf40c" updatedVersion="8" minRefreshableVersion="3" subtotalHiddenItems="1" itemPrintTitles="1" createdVersion="5" indent="0" outline="1" outlineData="1" multipleFieldFilters="0" chartFormat="55">
  <location ref="C4:D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7">
    <chartFormat chart="12"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 chart="44" format="3" series="1">
      <pivotArea type="data" outline="0" fieldPosition="0">
        <references count="1">
          <reference field="4294967294" count="1" selected="0">
            <x v="0"/>
          </reference>
        </references>
      </pivotArea>
    </chartFormat>
  </chartFormats>
  <pivotHierarchies count="36">
    <pivotHierarchy multipleItemSelectionAllowed="1"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1E14BD-532D-40B1-BAE8-EFF16B848B8D}" name="PivotTable3" cacheId="2751" applyNumberFormats="0" applyBorderFormats="0" applyFontFormats="0" applyPatternFormats="0" applyAlignmentFormats="0" applyWidthHeightFormats="1" dataCaption="Values" tag="32beb522-8486-4f00-a491-280b5dd49749"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6C7F0AF-EFE2-48BB-8A1F-DE52F38378AA}" name="PivotTable1" cacheId="2748" applyNumberFormats="0" applyBorderFormats="0" applyFontFormats="0" applyPatternFormats="0" applyAlignmentFormats="0" applyWidthHeightFormats="1" dataCaption="Values" tag="6ff508af-fc82-40c5-a382-19e8c37a240b"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53">
      <pivotArea outline="0" collapsedLevelsAreSubtotals="1" fieldPosition="0"/>
    </format>
  </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C7BE39A-96C2-49D3-A762-9424258A9837}" autoFormatId="16" applyNumberFormats="0" applyBorderFormats="0" applyFontFormats="0" applyPatternFormats="0" applyAlignmentFormats="0" applyWidthHeightFormats="0">
  <queryTableRefresh nextId="15">
    <queryTableFields count="14">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Patient Admission Flag_1]" tableColumnId="12"/>
      <queryTableField id="13" name="Hospital Emergency Room Data[Age Group]" tableColumnId="13"/>
      <queryTableField id="14" name="Hospital Emergency Room Data[Patient attend Status]"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A506349-E936-4CC6-9041-798792B2355F}" sourceName="[Calendar_Table].[Date (Month)]">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2"/>
    <pivotTable tabId="1" name="PivotTable13"/>
  </pivotTables>
  <data>
    <olap pivotCacheId="343972673">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ED3B793-383B-4E1C-BDBA-AE7D68BEB543}" sourceName="[Calendar_Table].[Date (Year)]">
  <pivotTables>
    <pivotTable tabId="1" name="PivotTable13"/>
    <pivotTable tabId="1" name="PivotTable1"/>
    <pivotTable tabId="1" name="PivotTable10"/>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4397267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4204E93-E0E7-4A12-8EA3-161D55DD4535}" cache="Slicer_Date__Month" caption="Date (Month)" showCaption="0" level="1" style="SlicerStyleOther2" rowHeight="216000"/>
  <slicer name="Date (Year)" xr10:uid="{A41485E0-40BC-44FD-A35A-641A692A2C3F}" cache="Slicer_Date__Year" caption="Date (Year)" showCaption="0"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27548A-3132-4EDB-BAB2-504D709C8811}" name="Table_ExternalData_1" displayName="Table_ExternalData_1" ref="A3:N34" tableType="queryTable" totalsRowShown="0">
  <autoFilter ref="A3:N34" xr:uid="{4127548A-3132-4EDB-BAB2-504D709C8811}"/>
  <tableColumns count="14">
    <tableColumn id="1" xr3:uid="{C71091F3-E3FD-4133-9791-571ED80B87D1}" uniqueName="1" name="Hospital Emergency Room Data[Patient Id]" queryTableFieldId="1"/>
    <tableColumn id="2" xr3:uid="{7877C76B-1FCB-456B-A28F-D942BEF0B3FB}" uniqueName="2" name="Hospital Emergency Room Data[Patient Admission Date]" queryTableFieldId="2" dataDxfId="155"/>
    <tableColumn id="3" xr3:uid="{544A589A-EEE6-4C4E-8779-82E1EC8E5D76}" uniqueName="3" name="Hospital Emergency Room Data[Patient Admission Time]" queryTableFieldId="3" dataDxfId="154"/>
    <tableColumn id="4" xr3:uid="{BDA0921D-E14E-4EE9-B4B7-93D6349FCD1F}" uniqueName="4" name="Hospital Emergency Room Data[Patient Name]" queryTableFieldId="4"/>
    <tableColumn id="5" xr3:uid="{5293922E-F4E7-424A-B47A-1C2552E9BDC2}" uniqueName="5" name="Hospital Emergency Room Data[Patient Gender]" queryTableFieldId="5"/>
    <tableColumn id="6" xr3:uid="{946D4DCB-F660-4631-863B-C8C152209408}" uniqueName="6" name="Hospital Emergency Room Data[Patient Age]" queryTableFieldId="6"/>
    <tableColumn id="7" xr3:uid="{DBA3442D-046C-4571-ACCD-A81862DAEDAE}" uniqueName="7" name="Hospital Emergency Room Data[Patient Race]" queryTableFieldId="7"/>
    <tableColumn id="8" xr3:uid="{A653731E-C0FF-4438-BFC2-0395568BDB8A}" uniqueName="8" name="Hospital Emergency Room Data[Department Referral]" queryTableFieldId="8"/>
    <tableColumn id="9" xr3:uid="{39BA0CA7-5A3A-4BEE-B0A6-2806009DD8B7}" uniqueName="9" name="Hospital Emergency Room Data[Patient Admission Flag]" queryTableFieldId="9"/>
    <tableColumn id="10" xr3:uid="{3D0BC477-FBEA-494E-87E2-FE5725EC2973}" uniqueName="10" name="Hospital Emergency Room Data[Patient Satisfaction Score]" queryTableFieldId="10"/>
    <tableColumn id="11" xr3:uid="{19D53EDE-2879-4E19-8122-D069A0A073C7}" uniqueName="11" name="Hospital Emergency Room Data[Patient Waittime]" queryTableFieldId="11"/>
    <tableColumn id="12" xr3:uid="{40B65593-DEF1-48B4-9051-9AB69266A999}" uniqueName="12" name="Hospital Emergency Room Data[Patient Admission Flag_1]" queryTableFieldId="12"/>
    <tableColumn id="13" xr3:uid="{6FB618F2-DE9B-4A59-9ED1-69883C40817C}" uniqueName="13" name="Hospital Emergency Room Data[Age Group]" queryTableFieldId="13"/>
    <tableColumn id="14" xr3:uid="{F985061B-5AF5-4BAB-8836-2559E11ADA61}" uniqueName="14" name="Hospital Emergency Room Data[Patient attend Status]"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rinterSettings" Target="../printerSettings/printerSettings1.bin"/><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94A8D-B449-4853-A3E4-364BABB2DBD5}">
  <dimension ref="A1:N34"/>
  <sheetViews>
    <sheetView workbookViewId="0">
      <selection activeCell="C9" sqref="C9"/>
    </sheetView>
  </sheetViews>
  <sheetFormatPr defaultRowHeight="14.5" x14ac:dyDescent="0.35"/>
  <cols>
    <col min="1" max="1" width="39.36328125" bestFit="1" customWidth="1"/>
    <col min="2" max="2" width="51.08984375" bestFit="1" customWidth="1"/>
    <col min="3" max="3" width="51.1796875" bestFit="1" customWidth="1"/>
    <col min="4" max="4" width="42.7265625" bestFit="1" customWidth="1"/>
    <col min="5" max="5" width="44.08984375" bestFit="1" customWidth="1"/>
    <col min="6" max="6" width="40.90625" bestFit="1" customWidth="1"/>
    <col min="7" max="7" width="41.7265625" bestFit="1" customWidth="1"/>
    <col min="8" max="8" width="48.81640625" bestFit="1" customWidth="1"/>
    <col min="9" max="9" width="50.36328125" bestFit="1" customWidth="1"/>
    <col min="10" max="10" width="52.81640625" bestFit="1" customWidth="1"/>
    <col min="11" max="11" width="45.7265625" bestFit="1" customWidth="1"/>
    <col min="12" max="12" width="52.453125" bestFit="1" customWidth="1"/>
    <col min="13" max="13" width="40.08984375" bestFit="1" customWidth="1"/>
    <col min="14" max="14" width="49.36328125" bestFit="1" customWidth="1"/>
  </cols>
  <sheetData>
    <row r="1" spans="1:14" x14ac:dyDescent="0.35">
      <c r="A1" s="6" t="s">
        <v>111</v>
      </c>
    </row>
    <row r="3" spans="1:14" x14ac:dyDescent="0.35">
      <c r="A3" t="s">
        <v>9</v>
      </c>
      <c r="B3" t="s">
        <v>10</v>
      </c>
      <c r="C3" t="s">
        <v>11</v>
      </c>
      <c r="D3" t="s">
        <v>12</v>
      </c>
      <c r="E3" t="s">
        <v>13</v>
      </c>
      <c r="F3" t="s">
        <v>14</v>
      </c>
      <c r="G3" t="s">
        <v>15</v>
      </c>
      <c r="H3" t="s">
        <v>16</v>
      </c>
      <c r="I3" t="s">
        <v>17</v>
      </c>
      <c r="J3" t="s">
        <v>18</v>
      </c>
      <c r="K3" t="s">
        <v>19</v>
      </c>
      <c r="L3" t="s">
        <v>20</v>
      </c>
      <c r="M3" t="s">
        <v>21</v>
      </c>
      <c r="N3" t="s">
        <v>22</v>
      </c>
    </row>
    <row r="4" spans="1:14" x14ac:dyDescent="0.35">
      <c r="A4" t="s">
        <v>23</v>
      </c>
      <c r="B4" s="4">
        <v>45022</v>
      </c>
      <c r="C4" s="5">
        <v>0.3888888888888889</v>
      </c>
      <c r="D4" t="s">
        <v>24</v>
      </c>
      <c r="E4" t="s">
        <v>25</v>
      </c>
      <c r="F4">
        <v>66</v>
      </c>
      <c r="G4" t="s">
        <v>26</v>
      </c>
      <c r="H4" t="s">
        <v>27</v>
      </c>
      <c r="I4" t="s">
        <v>28</v>
      </c>
      <c r="K4">
        <v>32</v>
      </c>
      <c r="L4" t="b">
        <v>0</v>
      </c>
      <c r="M4" t="s">
        <v>29</v>
      </c>
      <c r="N4" t="s">
        <v>30</v>
      </c>
    </row>
    <row r="5" spans="1:14" x14ac:dyDescent="0.35">
      <c r="A5" t="s">
        <v>31</v>
      </c>
      <c r="B5" s="4">
        <v>45022</v>
      </c>
      <c r="C5" s="5">
        <v>0.65972222222222221</v>
      </c>
      <c r="D5" t="s">
        <v>32</v>
      </c>
      <c r="E5" t="s">
        <v>25</v>
      </c>
      <c r="F5">
        <v>69</v>
      </c>
      <c r="G5" t="s">
        <v>33</v>
      </c>
      <c r="H5" t="s">
        <v>27</v>
      </c>
      <c r="I5" t="s">
        <v>28</v>
      </c>
      <c r="K5">
        <v>21</v>
      </c>
      <c r="L5" t="b">
        <v>0</v>
      </c>
      <c r="M5" t="s">
        <v>29</v>
      </c>
      <c r="N5" t="s">
        <v>34</v>
      </c>
    </row>
    <row r="6" spans="1:14" x14ac:dyDescent="0.35">
      <c r="A6" t="s">
        <v>35</v>
      </c>
      <c r="B6" s="4">
        <v>45388</v>
      </c>
      <c r="C6" s="5">
        <v>0.41388888888888886</v>
      </c>
      <c r="D6" t="s">
        <v>36</v>
      </c>
      <c r="E6" t="s">
        <v>37</v>
      </c>
      <c r="F6">
        <v>67</v>
      </c>
      <c r="G6" t="s">
        <v>33</v>
      </c>
      <c r="H6" t="s">
        <v>27</v>
      </c>
      <c r="I6" t="s">
        <v>38</v>
      </c>
      <c r="K6">
        <v>29</v>
      </c>
      <c r="L6" t="b">
        <v>1</v>
      </c>
      <c r="M6" t="s">
        <v>29</v>
      </c>
      <c r="N6" t="s">
        <v>34</v>
      </c>
    </row>
    <row r="7" spans="1:14" x14ac:dyDescent="0.35">
      <c r="A7" t="s">
        <v>39</v>
      </c>
      <c r="B7" s="4">
        <v>45388</v>
      </c>
      <c r="C7" s="5">
        <v>0.55555555555555558</v>
      </c>
      <c r="D7" t="s">
        <v>40</v>
      </c>
      <c r="E7" t="s">
        <v>37</v>
      </c>
      <c r="F7">
        <v>2</v>
      </c>
      <c r="G7" t="s">
        <v>33</v>
      </c>
      <c r="H7" t="s">
        <v>27</v>
      </c>
      <c r="I7" t="s">
        <v>38</v>
      </c>
      <c r="K7">
        <v>22</v>
      </c>
      <c r="L7" t="b">
        <v>1</v>
      </c>
      <c r="M7" t="s">
        <v>41</v>
      </c>
      <c r="N7" t="s">
        <v>34</v>
      </c>
    </row>
    <row r="8" spans="1:14" x14ac:dyDescent="0.35">
      <c r="A8" t="s">
        <v>42</v>
      </c>
      <c r="B8" s="4">
        <v>45022</v>
      </c>
      <c r="C8" s="5">
        <v>0.68541666666666667</v>
      </c>
      <c r="D8" t="s">
        <v>43</v>
      </c>
      <c r="E8" t="s">
        <v>25</v>
      </c>
      <c r="F8">
        <v>78</v>
      </c>
      <c r="G8" t="s">
        <v>44</v>
      </c>
      <c r="H8" t="s">
        <v>27</v>
      </c>
      <c r="I8" t="s">
        <v>38</v>
      </c>
      <c r="K8">
        <v>19</v>
      </c>
      <c r="L8" t="b">
        <v>1</v>
      </c>
      <c r="M8" t="s">
        <v>45</v>
      </c>
      <c r="N8" t="s">
        <v>34</v>
      </c>
    </row>
    <row r="9" spans="1:14" x14ac:dyDescent="0.35">
      <c r="A9" t="s">
        <v>46</v>
      </c>
      <c r="B9" s="4">
        <v>45388</v>
      </c>
      <c r="C9" s="5">
        <v>5.2083333333333336E-2</v>
      </c>
      <c r="D9" t="s">
        <v>47</v>
      </c>
      <c r="E9" t="s">
        <v>25</v>
      </c>
      <c r="F9">
        <v>28</v>
      </c>
      <c r="G9" t="s">
        <v>44</v>
      </c>
      <c r="H9" t="s">
        <v>27</v>
      </c>
      <c r="I9" t="s">
        <v>28</v>
      </c>
      <c r="K9">
        <v>54</v>
      </c>
      <c r="L9" t="b">
        <v>0</v>
      </c>
      <c r="M9" t="s">
        <v>48</v>
      </c>
      <c r="N9" t="s">
        <v>30</v>
      </c>
    </row>
    <row r="10" spans="1:14" x14ac:dyDescent="0.35">
      <c r="A10" t="s">
        <v>49</v>
      </c>
      <c r="B10" s="4">
        <v>45022</v>
      </c>
      <c r="C10" s="5">
        <v>0.7680555555555556</v>
      </c>
      <c r="D10" t="s">
        <v>50</v>
      </c>
      <c r="E10" t="s">
        <v>25</v>
      </c>
      <c r="F10">
        <v>63</v>
      </c>
      <c r="G10" t="s">
        <v>44</v>
      </c>
      <c r="H10" t="s">
        <v>27</v>
      </c>
      <c r="I10" t="s">
        <v>28</v>
      </c>
      <c r="K10">
        <v>44</v>
      </c>
      <c r="L10" t="b">
        <v>0</v>
      </c>
      <c r="M10" t="s">
        <v>29</v>
      </c>
      <c r="N10" t="s">
        <v>30</v>
      </c>
    </row>
    <row r="11" spans="1:14" x14ac:dyDescent="0.35">
      <c r="A11" t="s">
        <v>51</v>
      </c>
      <c r="B11" s="4">
        <v>45022</v>
      </c>
      <c r="C11" s="5">
        <v>0.96388888888888891</v>
      </c>
      <c r="D11" t="s">
        <v>52</v>
      </c>
      <c r="E11" t="s">
        <v>37</v>
      </c>
      <c r="F11">
        <v>50</v>
      </c>
      <c r="G11" t="s">
        <v>53</v>
      </c>
      <c r="H11" t="s">
        <v>27</v>
      </c>
      <c r="I11" t="s">
        <v>38</v>
      </c>
      <c r="K11">
        <v>42</v>
      </c>
      <c r="L11" t="b">
        <v>1</v>
      </c>
      <c r="M11" t="s">
        <v>54</v>
      </c>
      <c r="N11" t="s">
        <v>30</v>
      </c>
    </row>
    <row r="12" spans="1:14" x14ac:dyDescent="0.35">
      <c r="A12" t="s">
        <v>55</v>
      </c>
      <c r="B12" s="4">
        <v>45388</v>
      </c>
      <c r="C12" s="5">
        <v>0.82777777777777772</v>
      </c>
      <c r="D12" t="s">
        <v>56</v>
      </c>
      <c r="E12" t="s">
        <v>37</v>
      </c>
      <c r="F12">
        <v>28</v>
      </c>
      <c r="G12" t="s">
        <v>53</v>
      </c>
      <c r="H12" t="s">
        <v>27</v>
      </c>
      <c r="I12" t="s">
        <v>28</v>
      </c>
      <c r="K12">
        <v>57</v>
      </c>
      <c r="L12" t="b">
        <v>0</v>
      </c>
      <c r="M12" t="s">
        <v>48</v>
      </c>
      <c r="N12" t="s">
        <v>30</v>
      </c>
    </row>
    <row r="13" spans="1:14" x14ac:dyDescent="0.35">
      <c r="A13" t="s">
        <v>57</v>
      </c>
      <c r="B13" s="4">
        <v>45388</v>
      </c>
      <c r="C13" s="5">
        <v>6.25E-2</v>
      </c>
      <c r="D13" t="s">
        <v>58</v>
      </c>
      <c r="E13" t="s">
        <v>37</v>
      </c>
      <c r="F13">
        <v>46</v>
      </c>
      <c r="G13" t="s">
        <v>59</v>
      </c>
      <c r="H13" t="s">
        <v>27</v>
      </c>
      <c r="I13" t="s">
        <v>38</v>
      </c>
      <c r="K13">
        <v>40</v>
      </c>
      <c r="L13" t="b">
        <v>1</v>
      </c>
      <c r="M13" t="s">
        <v>60</v>
      </c>
      <c r="N13" t="s">
        <v>30</v>
      </c>
    </row>
    <row r="14" spans="1:14" x14ac:dyDescent="0.35">
      <c r="A14" t="s">
        <v>61</v>
      </c>
      <c r="B14" s="4">
        <v>45388</v>
      </c>
      <c r="C14" s="5">
        <v>0.64652777777777781</v>
      </c>
      <c r="D14" t="s">
        <v>62</v>
      </c>
      <c r="E14" t="s">
        <v>25</v>
      </c>
      <c r="F14">
        <v>52</v>
      </c>
      <c r="G14" t="s">
        <v>59</v>
      </c>
      <c r="H14" t="s">
        <v>27</v>
      </c>
      <c r="I14" t="s">
        <v>28</v>
      </c>
      <c r="K14">
        <v>22</v>
      </c>
      <c r="L14" t="b">
        <v>0</v>
      </c>
      <c r="M14" t="s">
        <v>54</v>
      </c>
      <c r="N14" t="s">
        <v>34</v>
      </c>
    </row>
    <row r="15" spans="1:14" x14ac:dyDescent="0.35">
      <c r="A15" t="s">
        <v>63</v>
      </c>
      <c r="B15" s="4">
        <v>45388</v>
      </c>
      <c r="C15" s="5">
        <v>0.16250000000000001</v>
      </c>
      <c r="D15" t="s">
        <v>64</v>
      </c>
      <c r="E15" t="s">
        <v>37</v>
      </c>
      <c r="F15">
        <v>52</v>
      </c>
      <c r="G15" t="s">
        <v>65</v>
      </c>
      <c r="H15" t="s">
        <v>27</v>
      </c>
      <c r="I15" t="s">
        <v>28</v>
      </c>
      <c r="K15">
        <v>36</v>
      </c>
      <c r="L15" t="b">
        <v>0</v>
      </c>
      <c r="M15" t="s">
        <v>54</v>
      </c>
      <c r="N15" t="s">
        <v>30</v>
      </c>
    </row>
    <row r="16" spans="1:14" x14ac:dyDescent="0.35">
      <c r="A16" t="s">
        <v>66</v>
      </c>
      <c r="B16" s="4">
        <v>45022</v>
      </c>
      <c r="C16" s="5">
        <v>0.17291666666666666</v>
      </c>
      <c r="D16" t="s">
        <v>67</v>
      </c>
      <c r="E16" t="s">
        <v>37</v>
      </c>
      <c r="F16">
        <v>28</v>
      </c>
      <c r="G16" t="s">
        <v>65</v>
      </c>
      <c r="H16" t="s">
        <v>27</v>
      </c>
      <c r="I16" t="s">
        <v>38</v>
      </c>
      <c r="K16">
        <v>21</v>
      </c>
      <c r="L16" t="b">
        <v>1</v>
      </c>
      <c r="M16" t="s">
        <v>48</v>
      </c>
      <c r="N16" t="s">
        <v>34</v>
      </c>
    </row>
    <row r="17" spans="1:14" x14ac:dyDescent="0.35">
      <c r="A17" t="s">
        <v>68</v>
      </c>
      <c r="B17" s="4">
        <v>45022</v>
      </c>
      <c r="C17" s="5">
        <v>0.8618055555555556</v>
      </c>
      <c r="D17" t="s">
        <v>69</v>
      </c>
      <c r="E17" t="s">
        <v>25</v>
      </c>
      <c r="F17">
        <v>3</v>
      </c>
      <c r="G17" t="s">
        <v>44</v>
      </c>
      <c r="H17" t="s">
        <v>70</v>
      </c>
      <c r="I17" t="s">
        <v>28</v>
      </c>
      <c r="K17">
        <v>26</v>
      </c>
      <c r="L17" t="b">
        <v>0</v>
      </c>
      <c r="M17" t="s">
        <v>41</v>
      </c>
      <c r="N17" t="s">
        <v>34</v>
      </c>
    </row>
    <row r="18" spans="1:14" x14ac:dyDescent="0.35">
      <c r="A18" t="s">
        <v>71</v>
      </c>
      <c r="B18" s="4">
        <v>45388</v>
      </c>
      <c r="C18" s="5">
        <v>9.5138888888888884E-2</v>
      </c>
      <c r="D18" t="s">
        <v>72</v>
      </c>
      <c r="E18" t="s">
        <v>37</v>
      </c>
      <c r="F18">
        <v>40</v>
      </c>
      <c r="G18" t="s">
        <v>26</v>
      </c>
      <c r="H18" t="s">
        <v>70</v>
      </c>
      <c r="I18" t="s">
        <v>38</v>
      </c>
      <c r="K18">
        <v>50</v>
      </c>
      <c r="L18" t="b">
        <v>1</v>
      </c>
      <c r="M18" t="s">
        <v>60</v>
      </c>
      <c r="N18" t="s">
        <v>30</v>
      </c>
    </row>
    <row r="19" spans="1:14" x14ac:dyDescent="0.35">
      <c r="A19" t="s">
        <v>73</v>
      </c>
      <c r="B19" s="4">
        <v>45022</v>
      </c>
      <c r="C19" s="5">
        <v>0.62152777777777779</v>
      </c>
      <c r="D19" t="s">
        <v>74</v>
      </c>
      <c r="E19" t="s">
        <v>25</v>
      </c>
      <c r="F19">
        <v>11</v>
      </c>
      <c r="G19" t="s">
        <v>26</v>
      </c>
      <c r="H19" t="s">
        <v>70</v>
      </c>
      <c r="I19" t="s">
        <v>38</v>
      </c>
      <c r="K19">
        <v>51</v>
      </c>
      <c r="L19" t="b">
        <v>1</v>
      </c>
      <c r="M19" t="s">
        <v>75</v>
      </c>
      <c r="N19" t="s">
        <v>30</v>
      </c>
    </row>
    <row r="20" spans="1:14" x14ac:dyDescent="0.35">
      <c r="A20" t="s">
        <v>76</v>
      </c>
      <c r="B20" s="4">
        <v>45022</v>
      </c>
      <c r="C20" s="5">
        <v>0.27916666666666667</v>
      </c>
      <c r="D20" t="s">
        <v>77</v>
      </c>
      <c r="E20" t="s">
        <v>37</v>
      </c>
      <c r="F20">
        <v>10</v>
      </c>
      <c r="G20" t="s">
        <v>33</v>
      </c>
      <c r="H20" t="s">
        <v>78</v>
      </c>
      <c r="I20" t="s">
        <v>28</v>
      </c>
      <c r="K20">
        <v>21</v>
      </c>
      <c r="L20" t="b">
        <v>0</v>
      </c>
      <c r="M20" t="s">
        <v>75</v>
      </c>
      <c r="N20" t="s">
        <v>34</v>
      </c>
    </row>
    <row r="21" spans="1:14" x14ac:dyDescent="0.35">
      <c r="A21" t="s">
        <v>79</v>
      </c>
      <c r="B21" s="4">
        <v>45388</v>
      </c>
      <c r="C21" s="5">
        <v>0.43194444444444446</v>
      </c>
      <c r="D21" t="s">
        <v>80</v>
      </c>
      <c r="E21" t="s">
        <v>37</v>
      </c>
      <c r="F21">
        <v>34</v>
      </c>
      <c r="G21" t="s">
        <v>53</v>
      </c>
      <c r="H21" t="s">
        <v>78</v>
      </c>
      <c r="I21" t="s">
        <v>28</v>
      </c>
      <c r="K21">
        <v>50</v>
      </c>
      <c r="L21" t="b">
        <v>0</v>
      </c>
      <c r="M21" t="s">
        <v>81</v>
      </c>
      <c r="N21" t="s">
        <v>30</v>
      </c>
    </row>
    <row r="22" spans="1:14" x14ac:dyDescent="0.35">
      <c r="A22" t="s">
        <v>82</v>
      </c>
      <c r="B22" s="4">
        <v>45388</v>
      </c>
      <c r="C22" s="5">
        <v>0.41597222222222224</v>
      </c>
      <c r="D22" t="s">
        <v>83</v>
      </c>
      <c r="E22" t="s">
        <v>37</v>
      </c>
      <c r="F22">
        <v>61</v>
      </c>
      <c r="G22" t="s">
        <v>53</v>
      </c>
      <c r="H22" t="s">
        <v>78</v>
      </c>
      <c r="I22" t="s">
        <v>38</v>
      </c>
      <c r="K22">
        <v>29</v>
      </c>
      <c r="L22" t="b">
        <v>1</v>
      </c>
      <c r="M22" t="s">
        <v>29</v>
      </c>
      <c r="N22" t="s">
        <v>34</v>
      </c>
    </row>
    <row r="23" spans="1:14" x14ac:dyDescent="0.35">
      <c r="A23" t="s">
        <v>84</v>
      </c>
      <c r="B23" s="4">
        <v>45388</v>
      </c>
      <c r="C23" s="5">
        <v>0.9506944444444444</v>
      </c>
      <c r="D23" t="s">
        <v>85</v>
      </c>
      <c r="E23" t="s">
        <v>37</v>
      </c>
      <c r="F23">
        <v>25</v>
      </c>
      <c r="G23" t="s">
        <v>26</v>
      </c>
      <c r="H23" t="s">
        <v>86</v>
      </c>
      <c r="I23" t="s">
        <v>38</v>
      </c>
      <c r="K23">
        <v>29</v>
      </c>
      <c r="L23" t="b">
        <v>1</v>
      </c>
      <c r="M23" t="s">
        <v>48</v>
      </c>
      <c r="N23" t="s">
        <v>34</v>
      </c>
    </row>
    <row r="24" spans="1:14" x14ac:dyDescent="0.35">
      <c r="A24" t="s">
        <v>87</v>
      </c>
      <c r="B24" s="4">
        <v>45022</v>
      </c>
      <c r="C24" s="5">
        <v>8.3333333333333329E-2</v>
      </c>
      <c r="D24" t="s">
        <v>88</v>
      </c>
      <c r="E24" t="s">
        <v>25</v>
      </c>
      <c r="F24">
        <v>79</v>
      </c>
      <c r="G24" t="s">
        <v>26</v>
      </c>
      <c r="H24" t="s">
        <v>89</v>
      </c>
      <c r="I24" t="s">
        <v>28</v>
      </c>
      <c r="K24">
        <v>13</v>
      </c>
      <c r="L24" t="b">
        <v>0</v>
      </c>
      <c r="M24" t="s">
        <v>45</v>
      </c>
      <c r="N24" t="s">
        <v>34</v>
      </c>
    </row>
    <row r="25" spans="1:14" x14ac:dyDescent="0.35">
      <c r="A25" t="s">
        <v>90</v>
      </c>
      <c r="B25" s="4">
        <v>45388</v>
      </c>
      <c r="C25" s="5">
        <v>0.5</v>
      </c>
      <c r="D25" t="s">
        <v>91</v>
      </c>
      <c r="E25" t="s">
        <v>37</v>
      </c>
      <c r="F25">
        <v>4</v>
      </c>
      <c r="G25" t="s">
        <v>33</v>
      </c>
      <c r="H25" t="s">
        <v>89</v>
      </c>
      <c r="I25" t="s">
        <v>28</v>
      </c>
      <c r="J25">
        <v>6</v>
      </c>
      <c r="K25">
        <v>47</v>
      </c>
      <c r="L25" t="b">
        <v>0</v>
      </c>
      <c r="M25" t="s">
        <v>41</v>
      </c>
      <c r="N25" t="s">
        <v>30</v>
      </c>
    </row>
    <row r="26" spans="1:14" x14ac:dyDescent="0.35">
      <c r="A26" t="s">
        <v>92</v>
      </c>
      <c r="B26" s="4">
        <v>45022</v>
      </c>
      <c r="C26" s="5">
        <v>6.5972222222222224E-2</v>
      </c>
      <c r="D26" t="s">
        <v>93</v>
      </c>
      <c r="E26" t="s">
        <v>37</v>
      </c>
      <c r="F26">
        <v>35</v>
      </c>
      <c r="G26" t="s">
        <v>33</v>
      </c>
      <c r="H26" t="s">
        <v>89</v>
      </c>
      <c r="I26" t="s">
        <v>28</v>
      </c>
      <c r="J26">
        <v>4</v>
      </c>
      <c r="K26">
        <v>27</v>
      </c>
      <c r="L26" t="b">
        <v>0</v>
      </c>
      <c r="M26" t="s">
        <v>81</v>
      </c>
      <c r="N26" t="s">
        <v>34</v>
      </c>
    </row>
    <row r="27" spans="1:14" x14ac:dyDescent="0.35">
      <c r="A27" t="s">
        <v>94</v>
      </c>
      <c r="B27" s="4">
        <v>45022</v>
      </c>
      <c r="C27" s="5">
        <v>0.85</v>
      </c>
      <c r="D27" t="s">
        <v>95</v>
      </c>
      <c r="E27" t="s">
        <v>25</v>
      </c>
      <c r="F27">
        <v>37</v>
      </c>
      <c r="G27" t="s">
        <v>44</v>
      </c>
      <c r="H27" t="s">
        <v>96</v>
      </c>
      <c r="I27" t="s">
        <v>38</v>
      </c>
      <c r="J27">
        <v>3</v>
      </c>
      <c r="K27">
        <v>31</v>
      </c>
      <c r="L27" t="b">
        <v>1</v>
      </c>
      <c r="M27" t="s">
        <v>81</v>
      </c>
      <c r="N27" t="s">
        <v>30</v>
      </c>
    </row>
    <row r="28" spans="1:14" x14ac:dyDescent="0.35">
      <c r="A28" t="s">
        <v>97</v>
      </c>
      <c r="B28" s="4">
        <v>45388</v>
      </c>
      <c r="C28" s="5">
        <v>0.41388888888888886</v>
      </c>
      <c r="D28" t="s">
        <v>98</v>
      </c>
      <c r="E28" t="s">
        <v>37</v>
      </c>
      <c r="F28">
        <v>76</v>
      </c>
      <c r="G28" t="s">
        <v>59</v>
      </c>
      <c r="H28" t="s">
        <v>27</v>
      </c>
      <c r="I28" t="s">
        <v>28</v>
      </c>
      <c r="J28">
        <v>1</v>
      </c>
      <c r="K28">
        <v>41</v>
      </c>
      <c r="L28" t="b">
        <v>0</v>
      </c>
      <c r="M28" t="s">
        <v>45</v>
      </c>
      <c r="N28" t="s">
        <v>30</v>
      </c>
    </row>
    <row r="29" spans="1:14" x14ac:dyDescent="0.35">
      <c r="A29" t="s">
        <v>99</v>
      </c>
      <c r="B29" s="4">
        <v>45388</v>
      </c>
      <c r="C29" s="5">
        <v>0.34444444444444444</v>
      </c>
      <c r="D29" t="s">
        <v>100</v>
      </c>
      <c r="E29" t="s">
        <v>37</v>
      </c>
      <c r="F29">
        <v>32</v>
      </c>
      <c r="G29" t="s">
        <v>59</v>
      </c>
      <c r="H29" t="s">
        <v>27</v>
      </c>
      <c r="I29" t="s">
        <v>38</v>
      </c>
      <c r="J29">
        <v>3</v>
      </c>
      <c r="K29">
        <v>30</v>
      </c>
      <c r="L29" t="b">
        <v>1</v>
      </c>
      <c r="M29" t="s">
        <v>81</v>
      </c>
      <c r="N29" t="s">
        <v>34</v>
      </c>
    </row>
    <row r="30" spans="1:14" x14ac:dyDescent="0.35">
      <c r="A30" t="s">
        <v>101</v>
      </c>
      <c r="B30" s="4">
        <v>45388</v>
      </c>
      <c r="C30" s="5">
        <v>0.76736111111111116</v>
      </c>
      <c r="D30" t="s">
        <v>102</v>
      </c>
      <c r="E30" t="s">
        <v>37</v>
      </c>
      <c r="F30">
        <v>4</v>
      </c>
      <c r="G30" t="s">
        <v>53</v>
      </c>
      <c r="H30" t="s">
        <v>27</v>
      </c>
      <c r="I30" t="s">
        <v>28</v>
      </c>
      <c r="J30">
        <v>7</v>
      </c>
      <c r="K30">
        <v>42</v>
      </c>
      <c r="L30" t="b">
        <v>0</v>
      </c>
      <c r="M30" t="s">
        <v>41</v>
      </c>
      <c r="N30" t="s">
        <v>30</v>
      </c>
    </row>
    <row r="31" spans="1:14" x14ac:dyDescent="0.35">
      <c r="A31" t="s">
        <v>103</v>
      </c>
      <c r="B31" s="4">
        <v>45022</v>
      </c>
      <c r="C31" s="5">
        <v>0.375</v>
      </c>
      <c r="D31" t="s">
        <v>104</v>
      </c>
      <c r="E31" t="s">
        <v>25</v>
      </c>
      <c r="F31">
        <v>37</v>
      </c>
      <c r="G31" t="s">
        <v>53</v>
      </c>
      <c r="H31" t="s">
        <v>27</v>
      </c>
      <c r="I31" t="s">
        <v>38</v>
      </c>
      <c r="J31">
        <v>0</v>
      </c>
      <c r="K31">
        <v>50</v>
      </c>
      <c r="L31" t="b">
        <v>1</v>
      </c>
      <c r="M31" t="s">
        <v>81</v>
      </c>
      <c r="N31" t="s">
        <v>30</v>
      </c>
    </row>
    <row r="32" spans="1:14" x14ac:dyDescent="0.35">
      <c r="A32" t="s">
        <v>105</v>
      </c>
      <c r="B32" s="4">
        <v>45388</v>
      </c>
      <c r="C32" s="5">
        <v>0.59097222222222223</v>
      </c>
      <c r="D32" t="s">
        <v>106</v>
      </c>
      <c r="E32" t="s">
        <v>25</v>
      </c>
      <c r="F32">
        <v>77</v>
      </c>
      <c r="G32" t="s">
        <v>44</v>
      </c>
      <c r="H32" t="s">
        <v>27</v>
      </c>
      <c r="I32" t="s">
        <v>28</v>
      </c>
      <c r="J32">
        <v>1</v>
      </c>
      <c r="K32">
        <v>39</v>
      </c>
      <c r="L32" t="b">
        <v>0</v>
      </c>
      <c r="M32" t="s">
        <v>45</v>
      </c>
      <c r="N32" t="s">
        <v>30</v>
      </c>
    </row>
    <row r="33" spans="1:14" x14ac:dyDescent="0.35">
      <c r="A33" t="s">
        <v>107</v>
      </c>
      <c r="B33" s="4">
        <v>45388</v>
      </c>
      <c r="C33" s="5">
        <v>0.33680555555555558</v>
      </c>
      <c r="D33" t="s">
        <v>108</v>
      </c>
      <c r="E33" t="s">
        <v>37</v>
      </c>
      <c r="F33">
        <v>24</v>
      </c>
      <c r="G33" t="s">
        <v>44</v>
      </c>
      <c r="H33" t="s">
        <v>27</v>
      </c>
      <c r="I33" t="s">
        <v>38</v>
      </c>
      <c r="J33">
        <v>8</v>
      </c>
      <c r="K33">
        <v>26</v>
      </c>
      <c r="L33" t="b">
        <v>1</v>
      </c>
      <c r="M33" t="s">
        <v>48</v>
      </c>
      <c r="N33" t="s">
        <v>34</v>
      </c>
    </row>
    <row r="34" spans="1:14" x14ac:dyDescent="0.35">
      <c r="A34" t="s">
        <v>109</v>
      </c>
      <c r="B34" s="4">
        <v>45022</v>
      </c>
      <c r="C34" s="5">
        <v>3.888888888888889E-2</v>
      </c>
      <c r="D34" t="s">
        <v>110</v>
      </c>
      <c r="E34" t="s">
        <v>37</v>
      </c>
      <c r="F34">
        <v>26</v>
      </c>
      <c r="G34" t="s">
        <v>26</v>
      </c>
      <c r="H34" t="s">
        <v>27</v>
      </c>
      <c r="I34" t="s">
        <v>28</v>
      </c>
      <c r="J34">
        <v>1</v>
      </c>
      <c r="K34">
        <v>24</v>
      </c>
      <c r="L34" t="b">
        <v>0</v>
      </c>
      <c r="M34" t="s">
        <v>48</v>
      </c>
      <c r="N34"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0CD14-01C0-47A4-A14B-9F1FBB41A4BC}">
  <dimension ref="A1:C18"/>
  <sheetViews>
    <sheetView workbookViewId="0"/>
  </sheetViews>
  <sheetFormatPr defaultRowHeight="14.5" x14ac:dyDescent="0.35"/>
  <sheetData>
    <row r="1" spans="1:3" x14ac:dyDescent="0.35">
      <c r="A1" s="12"/>
      <c r="B1" s="13"/>
      <c r="C1" s="14"/>
    </row>
    <row r="2" spans="1:3" x14ac:dyDescent="0.35">
      <c r="A2" s="15"/>
      <c r="B2" s="16"/>
      <c r="C2" s="17"/>
    </row>
    <row r="3" spans="1:3" x14ac:dyDescent="0.35">
      <c r="A3" s="15"/>
      <c r="B3" s="16"/>
      <c r="C3" s="17"/>
    </row>
    <row r="4" spans="1:3" x14ac:dyDescent="0.35">
      <c r="A4" s="15"/>
      <c r="B4" s="16"/>
      <c r="C4" s="17"/>
    </row>
    <row r="5" spans="1:3" x14ac:dyDescent="0.35">
      <c r="A5" s="15"/>
      <c r="B5" s="16"/>
      <c r="C5" s="17"/>
    </row>
    <row r="6" spans="1:3" x14ac:dyDescent="0.35">
      <c r="A6" s="15"/>
      <c r="B6" s="16"/>
      <c r="C6" s="17"/>
    </row>
    <row r="7" spans="1:3" x14ac:dyDescent="0.35">
      <c r="A7" s="15"/>
      <c r="B7" s="16"/>
      <c r="C7" s="17"/>
    </row>
    <row r="8" spans="1:3" x14ac:dyDescent="0.35">
      <c r="A8" s="15"/>
      <c r="B8" s="16"/>
      <c r="C8" s="17"/>
    </row>
    <row r="9" spans="1:3" x14ac:dyDescent="0.35">
      <c r="A9" s="15"/>
      <c r="B9" s="16"/>
      <c r="C9" s="17"/>
    </row>
    <row r="10" spans="1:3" x14ac:dyDescent="0.35">
      <c r="A10" s="15"/>
      <c r="B10" s="16"/>
      <c r="C10" s="17"/>
    </row>
    <row r="11" spans="1:3" x14ac:dyDescent="0.35">
      <c r="A11" s="15"/>
      <c r="B11" s="16"/>
      <c r="C11" s="17"/>
    </row>
    <row r="12" spans="1:3" x14ac:dyDescent="0.35">
      <c r="A12" s="15"/>
      <c r="B12" s="16"/>
      <c r="C12" s="17"/>
    </row>
    <row r="13" spans="1:3" x14ac:dyDescent="0.35">
      <c r="A13" s="15"/>
      <c r="B13" s="16"/>
      <c r="C13" s="17"/>
    </row>
    <row r="14" spans="1:3" x14ac:dyDescent="0.35">
      <c r="A14" s="15"/>
      <c r="B14" s="16"/>
      <c r="C14" s="17"/>
    </row>
    <row r="15" spans="1:3" x14ac:dyDescent="0.35">
      <c r="A15" s="15"/>
      <c r="B15" s="16"/>
      <c r="C15" s="17"/>
    </row>
    <row r="16" spans="1:3" x14ac:dyDescent="0.35">
      <c r="A16" s="15"/>
      <c r="B16" s="16"/>
      <c r="C16" s="17"/>
    </row>
    <row r="17" spans="1:3" x14ac:dyDescent="0.35">
      <c r="A17" s="15"/>
      <c r="B17" s="16"/>
      <c r="C17" s="17"/>
    </row>
    <row r="18" spans="1:3" x14ac:dyDescent="0.35">
      <c r="A18" s="18"/>
      <c r="B18" s="19"/>
      <c r="C18" s="20"/>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BDBA3-B16D-4A10-A53E-E25553418B19}">
  <dimension ref="A3:J84"/>
  <sheetViews>
    <sheetView topLeftCell="A63" zoomScale="88" zoomScaleNormal="58" workbookViewId="0">
      <selection activeCell="D76" sqref="D76"/>
    </sheetView>
  </sheetViews>
  <sheetFormatPr defaultRowHeight="14.5" x14ac:dyDescent="0.35"/>
  <cols>
    <col min="1" max="1" width="23.81640625" customWidth="1"/>
    <col min="2" max="2" width="28.453125" customWidth="1"/>
    <col min="3" max="3" width="27.1796875" customWidth="1"/>
    <col min="4" max="4" width="52.453125" customWidth="1"/>
    <col min="6" max="6" width="21.453125" customWidth="1"/>
    <col min="7" max="7" width="26.36328125" customWidth="1"/>
    <col min="9" max="9" width="16.453125" bestFit="1" customWidth="1"/>
    <col min="10" max="10" width="25.81640625" bestFit="1" customWidth="1"/>
  </cols>
  <sheetData>
    <row r="3" spans="1:10" x14ac:dyDescent="0.35">
      <c r="A3" t="s">
        <v>1</v>
      </c>
      <c r="C3" t="s">
        <v>7</v>
      </c>
      <c r="F3" t="s">
        <v>8</v>
      </c>
      <c r="I3" t="s">
        <v>112</v>
      </c>
    </row>
    <row r="4" spans="1:10" x14ac:dyDescent="0.35">
      <c r="A4" t="s">
        <v>0</v>
      </c>
      <c r="C4" s="1" t="s">
        <v>5</v>
      </c>
      <c r="D4" t="s">
        <v>0</v>
      </c>
      <c r="F4" s="1" t="s">
        <v>5</v>
      </c>
      <c r="G4" t="s">
        <v>2</v>
      </c>
      <c r="I4" s="1" t="s">
        <v>5</v>
      </c>
      <c r="J4" t="s">
        <v>3</v>
      </c>
    </row>
    <row r="5" spans="1:10" x14ac:dyDescent="0.35">
      <c r="A5" s="7">
        <v>464</v>
      </c>
      <c r="C5" s="3" t="s">
        <v>120</v>
      </c>
      <c r="D5" s="7">
        <v>17</v>
      </c>
      <c r="F5" s="3" t="s">
        <v>120</v>
      </c>
      <c r="G5" s="2">
        <v>35.117647058823529</v>
      </c>
      <c r="I5" s="3" t="s">
        <v>120</v>
      </c>
      <c r="J5" s="2">
        <v>4.666666666666667</v>
      </c>
    </row>
    <row r="6" spans="1:10" x14ac:dyDescent="0.35">
      <c r="C6" s="3" t="s">
        <v>121</v>
      </c>
      <c r="D6" s="7">
        <v>12</v>
      </c>
      <c r="F6" s="3" t="s">
        <v>121</v>
      </c>
      <c r="G6" s="2">
        <v>28.916666666666668</v>
      </c>
      <c r="I6" s="3" t="s">
        <v>121</v>
      </c>
      <c r="J6" s="2">
        <v>4.666666666666667</v>
      </c>
    </row>
    <row r="7" spans="1:10" x14ac:dyDescent="0.35">
      <c r="C7" s="3" t="s">
        <v>122</v>
      </c>
      <c r="D7" s="7">
        <v>14</v>
      </c>
      <c r="F7" s="3" t="s">
        <v>122</v>
      </c>
      <c r="G7" s="2">
        <v>34.357142857142854</v>
      </c>
      <c r="I7" s="3" t="s">
        <v>122</v>
      </c>
      <c r="J7" s="2">
        <v>5.4</v>
      </c>
    </row>
    <row r="8" spans="1:10" x14ac:dyDescent="0.35">
      <c r="C8" s="3" t="s">
        <v>123</v>
      </c>
      <c r="D8" s="7">
        <v>17</v>
      </c>
      <c r="F8" s="3" t="s">
        <v>123</v>
      </c>
      <c r="G8" s="2">
        <v>29.705882352941178</v>
      </c>
      <c r="I8" s="3" t="s">
        <v>123</v>
      </c>
      <c r="J8" s="2">
        <v>5.2</v>
      </c>
    </row>
    <row r="9" spans="1:10" x14ac:dyDescent="0.35">
      <c r="A9" t="s">
        <v>2</v>
      </c>
      <c r="C9" s="3" t="s">
        <v>124</v>
      </c>
      <c r="D9" s="7">
        <v>17</v>
      </c>
      <c r="F9" s="3" t="s">
        <v>124</v>
      </c>
      <c r="G9" s="2">
        <v>33.176470588235297</v>
      </c>
      <c r="I9" s="3" t="s">
        <v>124</v>
      </c>
      <c r="J9" s="2">
        <v>2.4285714285714284</v>
      </c>
    </row>
    <row r="10" spans="1:10" x14ac:dyDescent="0.35">
      <c r="A10" s="2">
        <v>35.185344827586206</v>
      </c>
      <c r="C10" s="3" t="s">
        <v>125</v>
      </c>
      <c r="D10" s="7">
        <v>16</v>
      </c>
      <c r="F10" s="3" t="s">
        <v>125</v>
      </c>
      <c r="G10" s="2">
        <v>39.8125</v>
      </c>
      <c r="I10" s="3" t="s">
        <v>125</v>
      </c>
      <c r="J10" s="2">
        <v>4.8</v>
      </c>
    </row>
    <row r="11" spans="1:10" x14ac:dyDescent="0.35">
      <c r="C11" s="3" t="s">
        <v>126</v>
      </c>
      <c r="D11" s="7">
        <v>19</v>
      </c>
      <c r="F11" s="3" t="s">
        <v>126</v>
      </c>
      <c r="G11" s="2">
        <v>36.578947368421055</v>
      </c>
      <c r="I11" s="3" t="s">
        <v>126</v>
      </c>
      <c r="J11" s="2">
        <v>6.5714285714285712</v>
      </c>
    </row>
    <row r="12" spans="1:10" x14ac:dyDescent="0.35">
      <c r="A12" t="s">
        <v>3</v>
      </c>
      <c r="C12" s="3" t="s">
        <v>127</v>
      </c>
      <c r="D12" s="7">
        <v>14</v>
      </c>
      <c r="F12" s="3" t="s">
        <v>127</v>
      </c>
      <c r="G12" s="2">
        <v>34.5</v>
      </c>
      <c r="I12" s="3" t="s">
        <v>127</v>
      </c>
      <c r="J12" s="2">
        <v>3</v>
      </c>
    </row>
    <row r="13" spans="1:10" x14ac:dyDescent="0.35">
      <c r="A13" s="2">
        <v>5.0928571428571425</v>
      </c>
      <c r="C13" s="3" t="s">
        <v>128</v>
      </c>
      <c r="D13" s="7">
        <v>17</v>
      </c>
      <c r="F13" s="3" t="s">
        <v>128</v>
      </c>
      <c r="G13" s="2">
        <v>39.764705882352942</v>
      </c>
      <c r="I13" s="3" t="s">
        <v>128</v>
      </c>
      <c r="J13" s="2">
        <v>4.5999999999999996</v>
      </c>
    </row>
    <row r="14" spans="1:10" x14ac:dyDescent="0.35">
      <c r="C14" s="3" t="s">
        <v>129</v>
      </c>
      <c r="D14" s="7">
        <v>13</v>
      </c>
      <c r="F14" s="3" t="s">
        <v>129</v>
      </c>
      <c r="G14" s="2">
        <v>35.230769230769234</v>
      </c>
      <c r="I14" s="3" t="s">
        <v>129</v>
      </c>
      <c r="J14" s="2">
        <v>3.875</v>
      </c>
    </row>
    <row r="15" spans="1:10" x14ac:dyDescent="0.35">
      <c r="C15" s="3" t="s">
        <v>130</v>
      </c>
      <c r="D15" s="7">
        <v>12</v>
      </c>
      <c r="F15" s="3" t="s">
        <v>130</v>
      </c>
      <c r="G15" s="2">
        <v>41.5</v>
      </c>
      <c r="I15" s="3" t="s">
        <v>130</v>
      </c>
      <c r="J15" s="2">
        <v>7.25</v>
      </c>
    </row>
    <row r="16" spans="1:10" x14ac:dyDescent="0.35">
      <c r="C16" s="3" t="s">
        <v>131</v>
      </c>
      <c r="D16" s="7">
        <v>16</v>
      </c>
      <c r="F16" s="3" t="s">
        <v>131</v>
      </c>
      <c r="G16" s="2">
        <v>38.0625</v>
      </c>
      <c r="I16" s="3" t="s">
        <v>131</v>
      </c>
      <c r="J16" s="2">
        <v>3</v>
      </c>
    </row>
    <row r="17" spans="3:10" x14ac:dyDescent="0.35">
      <c r="C17" s="3" t="s">
        <v>132</v>
      </c>
      <c r="D17" s="7">
        <v>9</v>
      </c>
      <c r="F17" s="3" t="s">
        <v>132</v>
      </c>
      <c r="G17" s="2">
        <v>29.222222222222221</v>
      </c>
      <c r="I17" s="3" t="s">
        <v>132</v>
      </c>
      <c r="J17" s="2">
        <v>8</v>
      </c>
    </row>
    <row r="18" spans="3:10" x14ac:dyDescent="0.35">
      <c r="C18" s="3" t="s">
        <v>133</v>
      </c>
      <c r="D18" s="7">
        <v>17</v>
      </c>
      <c r="F18" s="3" t="s">
        <v>133</v>
      </c>
      <c r="G18" s="2">
        <v>31</v>
      </c>
      <c r="I18" s="3" t="s">
        <v>133</v>
      </c>
      <c r="J18" s="2">
        <v>6</v>
      </c>
    </row>
    <row r="19" spans="3:10" x14ac:dyDescent="0.35">
      <c r="C19" s="3" t="s">
        <v>134</v>
      </c>
      <c r="D19" s="7">
        <v>16</v>
      </c>
      <c r="F19" s="3" t="s">
        <v>134</v>
      </c>
      <c r="G19" s="2">
        <v>37.3125</v>
      </c>
      <c r="I19" s="3" t="s">
        <v>134</v>
      </c>
      <c r="J19" s="2">
        <v>3.6666666666666665</v>
      </c>
    </row>
    <row r="20" spans="3:10" x14ac:dyDescent="0.35">
      <c r="C20" s="3" t="s">
        <v>135</v>
      </c>
      <c r="D20" s="7">
        <v>17</v>
      </c>
      <c r="F20" s="3" t="s">
        <v>135</v>
      </c>
      <c r="G20" s="2">
        <v>35.647058823529413</v>
      </c>
      <c r="I20" s="3" t="s">
        <v>135</v>
      </c>
      <c r="J20" s="2">
        <v>5.333333333333333</v>
      </c>
    </row>
    <row r="21" spans="3:10" x14ac:dyDescent="0.35">
      <c r="C21" s="3" t="s">
        <v>136</v>
      </c>
      <c r="D21" s="7">
        <v>21</v>
      </c>
      <c r="F21" s="3" t="s">
        <v>136</v>
      </c>
      <c r="G21" s="2">
        <v>36.476190476190474</v>
      </c>
      <c r="I21" s="3" t="s">
        <v>136</v>
      </c>
      <c r="J21" s="2">
        <v>6.1111111111111107</v>
      </c>
    </row>
    <row r="22" spans="3:10" x14ac:dyDescent="0.35">
      <c r="C22" s="3" t="s">
        <v>137</v>
      </c>
      <c r="D22" s="7">
        <v>15</v>
      </c>
      <c r="F22" s="3" t="s">
        <v>137</v>
      </c>
      <c r="G22" s="2">
        <v>40.799999999999997</v>
      </c>
      <c r="I22" s="3" t="s">
        <v>137</v>
      </c>
      <c r="J22" s="2">
        <v>6.5</v>
      </c>
    </row>
    <row r="23" spans="3:10" x14ac:dyDescent="0.35">
      <c r="C23" s="3" t="s">
        <v>138</v>
      </c>
      <c r="D23" s="7">
        <v>22</v>
      </c>
      <c r="F23" s="3" t="s">
        <v>138</v>
      </c>
      <c r="G23" s="2">
        <v>30.318181818181817</v>
      </c>
      <c r="I23" s="3" t="s">
        <v>138</v>
      </c>
      <c r="J23" s="2">
        <v>5</v>
      </c>
    </row>
    <row r="24" spans="3:10" x14ac:dyDescent="0.35">
      <c r="C24" s="3" t="s">
        <v>139</v>
      </c>
      <c r="D24" s="7">
        <v>14</v>
      </c>
      <c r="F24" s="3" t="s">
        <v>139</v>
      </c>
      <c r="G24" s="2">
        <v>35.714285714285715</v>
      </c>
      <c r="I24" s="3" t="s">
        <v>139</v>
      </c>
      <c r="J24" s="2">
        <v>5.8</v>
      </c>
    </row>
    <row r="25" spans="3:10" x14ac:dyDescent="0.35">
      <c r="C25" s="3" t="s">
        <v>140</v>
      </c>
      <c r="D25" s="7">
        <v>13</v>
      </c>
      <c r="F25" s="3" t="s">
        <v>140</v>
      </c>
      <c r="G25" s="2">
        <v>33.53846153846154</v>
      </c>
      <c r="I25" s="3" t="s">
        <v>140</v>
      </c>
      <c r="J25" s="2">
        <v>6</v>
      </c>
    </row>
    <row r="26" spans="3:10" x14ac:dyDescent="0.35">
      <c r="C26" s="3" t="s">
        <v>141</v>
      </c>
      <c r="D26" s="7">
        <v>10</v>
      </c>
      <c r="F26" s="3" t="s">
        <v>141</v>
      </c>
      <c r="G26" s="2">
        <v>37.5</v>
      </c>
      <c r="I26" s="3" t="s">
        <v>141</v>
      </c>
      <c r="J26" s="2">
        <v>8</v>
      </c>
    </row>
    <row r="27" spans="3:10" x14ac:dyDescent="0.35">
      <c r="C27" s="3" t="s">
        <v>142</v>
      </c>
      <c r="D27" s="7">
        <v>17</v>
      </c>
      <c r="F27" s="3" t="s">
        <v>142</v>
      </c>
      <c r="G27" s="2">
        <v>38.058823529411768</v>
      </c>
      <c r="I27" s="3" t="s">
        <v>142</v>
      </c>
      <c r="J27" s="2">
        <v>7</v>
      </c>
    </row>
    <row r="28" spans="3:10" x14ac:dyDescent="0.35">
      <c r="C28" s="3" t="s">
        <v>143</v>
      </c>
      <c r="D28" s="7">
        <v>17</v>
      </c>
      <c r="F28" s="3" t="s">
        <v>143</v>
      </c>
      <c r="G28" s="2">
        <v>28.117647058823529</v>
      </c>
      <c r="I28" s="3" t="s">
        <v>143</v>
      </c>
      <c r="J28" s="2">
        <v>3.75</v>
      </c>
    </row>
    <row r="29" spans="3:10" x14ac:dyDescent="0.35">
      <c r="C29" s="3" t="s">
        <v>144</v>
      </c>
      <c r="D29" s="7">
        <v>13</v>
      </c>
      <c r="F29" s="3" t="s">
        <v>144</v>
      </c>
      <c r="G29" s="2">
        <v>31.846153846153847</v>
      </c>
      <c r="I29" s="3" t="s">
        <v>144</v>
      </c>
      <c r="J29" s="2">
        <v>1</v>
      </c>
    </row>
    <row r="30" spans="3:10" x14ac:dyDescent="0.35">
      <c r="C30" s="3" t="s">
        <v>145</v>
      </c>
      <c r="D30" s="7">
        <v>11</v>
      </c>
      <c r="F30" s="3" t="s">
        <v>145</v>
      </c>
      <c r="G30" s="2">
        <v>43.636363636363633</v>
      </c>
      <c r="I30" s="3" t="s">
        <v>145</v>
      </c>
      <c r="J30" s="2">
        <v>9</v>
      </c>
    </row>
    <row r="31" spans="3:10" x14ac:dyDescent="0.35">
      <c r="C31" s="3" t="s">
        <v>146</v>
      </c>
      <c r="D31" s="7">
        <v>19</v>
      </c>
      <c r="F31" s="3" t="s">
        <v>146</v>
      </c>
      <c r="G31" s="2">
        <v>38.842105263157897</v>
      </c>
      <c r="I31" s="3" t="s">
        <v>146</v>
      </c>
      <c r="J31" s="2">
        <v>5.8</v>
      </c>
    </row>
    <row r="32" spans="3:10" x14ac:dyDescent="0.35">
      <c r="C32" s="3" t="s">
        <v>147</v>
      </c>
      <c r="D32" s="7">
        <v>16</v>
      </c>
      <c r="F32" s="3" t="s">
        <v>147</v>
      </c>
      <c r="G32" s="2">
        <v>29.5625</v>
      </c>
      <c r="I32" s="3" t="s">
        <v>147</v>
      </c>
      <c r="J32" s="2">
        <v>4</v>
      </c>
    </row>
    <row r="33" spans="1:10" x14ac:dyDescent="0.35">
      <c r="C33" s="3" t="s">
        <v>148</v>
      </c>
      <c r="D33" s="7">
        <v>15</v>
      </c>
      <c r="F33" s="3" t="s">
        <v>148</v>
      </c>
      <c r="G33" s="2">
        <v>37.466666666666669</v>
      </c>
      <c r="I33" s="3" t="s">
        <v>148</v>
      </c>
      <c r="J33" s="2">
        <v>6.4</v>
      </c>
    </row>
    <row r="34" spans="1:10" x14ac:dyDescent="0.35">
      <c r="C34" s="3" t="s">
        <v>149</v>
      </c>
      <c r="D34" s="7">
        <v>18</v>
      </c>
      <c r="F34" s="3" t="s">
        <v>149</v>
      </c>
      <c r="G34" s="2">
        <v>35.277777777777779</v>
      </c>
      <c r="I34" s="3" t="s">
        <v>149</v>
      </c>
      <c r="J34" s="2">
        <v>5</v>
      </c>
    </row>
    <row r="35" spans="1:10" x14ac:dyDescent="0.35">
      <c r="C35" s="3" t="s">
        <v>4</v>
      </c>
      <c r="D35" s="7">
        <v>464</v>
      </c>
      <c r="F35" s="3" t="s">
        <v>4</v>
      </c>
      <c r="G35" s="2">
        <v>35.185344827586206</v>
      </c>
      <c r="I35" s="3" t="s">
        <v>4</v>
      </c>
      <c r="J35" s="2">
        <v>5.0928571428571425</v>
      </c>
    </row>
    <row r="39" spans="1:10" x14ac:dyDescent="0.35">
      <c r="A39" s="1" t="s">
        <v>5</v>
      </c>
      <c r="B39" t="s">
        <v>115</v>
      </c>
      <c r="C39" t="s">
        <v>114</v>
      </c>
    </row>
    <row r="40" spans="1:10" x14ac:dyDescent="0.35">
      <c r="A40" s="3" t="s">
        <v>38</v>
      </c>
      <c r="B40" s="2">
        <v>231</v>
      </c>
      <c r="C40" s="8">
        <v>0.49784482758620691</v>
      </c>
    </row>
    <row r="41" spans="1:10" x14ac:dyDescent="0.35">
      <c r="A41" s="3" t="s">
        <v>28</v>
      </c>
      <c r="B41" s="2">
        <v>233</v>
      </c>
      <c r="C41" s="8">
        <v>0.50215517241379315</v>
      </c>
    </row>
    <row r="42" spans="1:10" x14ac:dyDescent="0.35">
      <c r="A42" s="3" t="s">
        <v>4</v>
      </c>
      <c r="B42" s="2">
        <v>464</v>
      </c>
      <c r="C42" s="8">
        <v>1</v>
      </c>
    </row>
    <row r="45" spans="1:10" ht="103.5" customHeight="1" x14ac:dyDescent="0.35"/>
    <row r="46" spans="1:10" x14ac:dyDescent="0.35">
      <c r="A46" s="9" t="s">
        <v>116</v>
      </c>
      <c r="B46" s="11" t="s">
        <v>152</v>
      </c>
      <c r="C46" s="11" t="s">
        <v>153</v>
      </c>
      <c r="D46" s="9"/>
      <c r="E46" s="9"/>
    </row>
    <row r="47" spans="1:10" x14ac:dyDescent="0.35">
      <c r="A47" t="str">
        <f>A41</f>
        <v>Not Admitted</v>
      </c>
      <c r="B47" s="23">
        <f>B41</f>
        <v>233</v>
      </c>
      <c r="C47" s="10">
        <f>C40</f>
        <v>0.49784482758620691</v>
      </c>
    </row>
    <row r="48" spans="1:10" x14ac:dyDescent="0.35">
      <c r="A48" t="str">
        <f>A40</f>
        <v>Admitted</v>
      </c>
      <c r="B48" s="23">
        <f>B40</f>
        <v>231</v>
      </c>
      <c r="C48" s="10">
        <f>C41</f>
        <v>0.50215517241379315</v>
      </c>
    </row>
    <row r="51" spans="1:2" x14ac:dyDescent="0.35">
      <c r="A51" s="1" t="s">
        <v>5</v>
      </c>
      <c r="B51" t="s">
        <v>119</v>
      </c>
    </row>
    <row r="52" spans="1:2" x14ac:dyDescent="0.35">
      <c r="A52" s="3" t="s">
        <v>41</v>
      </c>
      <c r="B52" s="21">
        <v>56</v>
      </c>
    </row>
    <row r="53" spans="1:2" x14ac:dyDescent="0.35">
      <c r="A53" s="3" t="s">
        <v>75</v>
      </c>
      <c r="B53" s="21">
        <v>63</v>
      </c>
    </row>
    <row r="54" spans="1:2" x14ac:dyDescent="0.35">
      <c r="A54" s="3" t="s">
        <v>48</v>
      </c>
      <c r="B54" s="21">
        <v>49</v>
      </c>
    </row>
    <row r="55" spans="1:2" x14ac:dyDescent="0.35">
      <c r="A55" s="3" t="s">
        <v>81</v>
      </c>
      <c r="B55" s="21">
        <v>68</v>
      </c>
    </row>
    <row r="56" spans="1:2" x14ac:dyDescent="0.35">
      <c r="A56" s="3" t="s">
        <v>60</v>
      </c>
      <c r="B56" s="21">
        <v>53</v>
      </c>
    </row>
    <row r="57" spans="1:2" x14ac:dyDescent="0.35">
      <c r="A57" s="3" t="s">
        <v>54</v>
      </c>
      <c r="B57" s="21">
        <v>59</v>
      </c>
    </row>
    <row r="58" spans="1:2" x14ac:dyDescent="0.35">
      <c r="A58" s="3" t="s">
        <v>29</v>
      </c>
      <c r="B58" s="21">
        <v>62</v>
      </c>
    </row>
    <row r="59" spans="1:2" x14ac:dyDescent="0.35">
      <c r="A59" s="3" t="s">
        <v>45</v>
      </c>
      <c r="B59" s="21">
        <v>54</v>
      </c>
    </row>
    <row r="60" spans="1:2" x14ac:dyDescent="0.35">
      <c r="A60" s="3" t="s">
        <v>4</v>
      </c>
      <c r="B60" s="21">
        <v>464</v>
      </c>
    </row>
    <row r="62" spans="1:2" x14ac:dyDescent="0.35">
      <c r="A62" s="1" t="s">
        <v>5</v>
      </c>
      <c r="B62" t="s">
        <v>150</v>
      </c>
    </row>
    <row r="63" spans="1:2" x14ac:dyDescent="0.35">
      <c r="A63" s="3" t="s">
        <v>30</v>
      </c>
      <c r="B63" s="21">
        <v>267</v>
      </c>
    </row>
    <row r="64" spans="1:2" x14ac:dyDescent="0.35">
      <c r="A64" s="3" t="s">
        <v>34</v>
      </c>
      <c r="B64" s="21">
        <v>197</v>
      </c>
    </row>
    <row r="65" spans="1:4" x14ac:dyDescent="0.35">
      <c r="A65" s="3" t="s">
        <v>4</v>
      </c>
      <c r="B65" s="21">
        <v>464</v>
      </c>
    </row>
    <row r="68" spans="1:4" x14ac:dyDescent="0.35">
      <c r="A68" s="1" t="s">
        <v>5</v>
      </c>
      <c r="B68" t="s">
        <v>151</v>
      </c>
    </row>
    <row r="69" spans="1:4" x14ac:dyDescent="0.35">
      <c r="A69" s="3" t="s">
        <v>37</v>
      </c>
      <c r="B69" s="21">
        <v>227</v>
      </c>
    </row>
    <row r="70" spans="1:4" x14ac:dyDescent="0.35">
      <c r="A70" s="3" t="s">
        <v>25</v>
      </c>
      <c r="B70" s="21">
        <v>237</v>
      </c>
    </row>
    <row r="71" spans="1:4" x14ac:dyDescent="0.35">
      <c r="A71" s="3" t="s">
        <v>4</v>
      </c>
      <c r="B71" s="21">
        <v>464</v>
      </c>
    </row>
    <row r="75" spans="1:4" x14ac:dyDescent="0.35">
      <c r="A75" s="1" t="s">
        <v>5</v>
      </c>
      <c r="B75" t="s">
        <v>154</v>
      </c>
    </row>
    <row r="76" spans="1:4" x14ac:dyDescent="0.35">
      <c r="A76" s="3" t="s">
        <v>118</v>
      </c>
      <c r="B76" s="21">
        <v>2</v>
      </c>
      <c r="D76" s="1" t="s">
        <v>5</v>
      </c>
    </row>
    <row r="77" spans="1:4" x14ac:dyDescent="0.35">
      <c r="A77" s="3" t="s">
        <v>117</v>
      </c>
      <c r="B77" s="21">
        <v>6</v>
      </c>
      <c r="D77" s="3" t="s">
        <v>155</v>
      </c>
    </row>
    <row r="78" spans="1:4" x14ac:dyDescent="0.35">
      <c r="A78" s="3" t="s">
        <v>96</v>
      </c>
      <c r="B78" s="21">
        <v>13</v>
      </c>
      <c r="D78" s="3" t="s">
        <v>4</v>
      </c>
    </row>
    <row r="79" spans="1:4" x14ac:dyDescent="0.35">
      <c r="A79" s="3" t="s">
        <v>89</v>
      </c>
      <c r="B79" s="21">
        <v>14</v>
      </c>
    </row>
    <row r="80" spans="1:4" x14ac:dyDescent="0.35">
      <c r="A80" s="3" t="s">
        <v>86</v>
      </c>
      <c r="B80" s="21">
        <v>19</v>
      </c>
    </row>
    <row r="81" spans="1:2" x14ac:dyDescent="0.35">
      <c r="A81" s="3" t="s">
        <v>78</v>
      </c>
      <c r="B81" s="21">
        <v>67</v>
      </c>
    </row>
    <row r="82" spans="1:2" x14ac:dyDescent="0.35">
      <c r="A82" s="3" t="s">
        <v>70</v>
      </c>
      <c r="B82" s="21">
        <v>91</v>
      </c>
    </row>
    <row r="83" spans="1:2" x14ac:dyDescent="0.35">
      <c r="A83" s="3" t="s">
        <v>27</v>
      </c>
      <c r="B83" s="21">
        <v>252</v>
      </c>
    </row>
    <row r="84" spans="1:2" x14ac:dyDescent="0.35">
      <c r="A84" s="3" t="s">
        <v>4</v>
      </c>
      <c r="B84" s="21">
        <v>464</v>
      </c>
    </row>
  </sheetData>
  <pageMargins left="0.7" right="0.7" top="0.75" bottom="0.75" header="0.3" footer="0.3"/>
  <pageSetup orientation="portrait" r:id="rId1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7139E-DF98-4DCE-ACDA-283663B76EA3}">
  <dimension ref="A1:B24"/>
  <sheetViews>
    <sheetView tabSelected="1" zoomScale="112" zoomScaleNormal="118" workbookViewId="0">
      <selection activeCell="O9" sqref="O9"/>
    </sheetView>
  </sheetViews>
  <sheetFormatPr defaultRowHeight="14.5" x14ac:dyDescent="0.35"/>
  <cols>
    <col min="1" max="2" width="8.7265625" style="22"/>
    <col min="3" max="6" width="8.7265625" style="22" customWidth="1"/>
    <col min="7" max="16384" width="8.7265625" style="22"/>
  </cols>
  <sheetData>
    <row r="1" spans="1:1" x14ac:dyDescent="0.35">
      <c r="A1" s="22" t="s">
        <v>113</v>
      </c>
    </row>
    <row r="24" spans="2:2" x14ac:dyDescent="0.35">
      <c r="B24" s="22" t="s">
        <v>6</v>
      </c>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BE289-4CCF-4008-AAEB-B6FBA7CE371B}">
  <dimension ref="A1"/>
  <sheetViews>
    <sheetView workbookViewId="0"/>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57F9F-496E-4EC2-829C-17B915E14BBF}">
  <dimension ref="A1"/>
  <sheetViews>
    <sheetView zoomScale="68" workbookViewId="0"/>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B6208-B439-4364-9A60-3ADFB59612C8}">
  <dimension ref="A1"/>
  <sheetViews>
    <sheetView zoomScale="81"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5D5F491-05AE-469F-9E78-9231982A28BF}">
  <ds:schemaRefs/>
</ds:datastoreItem>
</file>

<file path=customXml/itemProps2.xml><?xml version="1.0" encoding="utf-8"?>
<ds:datastoreItem xmlns:ds="http://schemas.openxmlformats.org/officeDocument/2006/customXml" ds:itemID="{EE21754A-3A6F-47AE-A271-745964C1EE5D}">
  <ds:schemaRefs/>
</ds:datastoreItem>
</file>

<file path=customXml/itemProps3.xml><?xml version="1.0" encoding="utf-8"?>
<ds:datastoreItem xmlns:ds="http://schemas.openxmlformats.org/officeDocument/2006/customXml" ds:itemID="{FDF9F703-CFD9-4C5E-8A01-0295B8DB6146}">
  <ds:schemaRefs/>
</ds:datastoreItem>
</file>

<file path=customXml/itemProps4.xml><?xml version="1.0" encoding="utf-8"?>
<ds:datastoreItem xmlns:ds="http://schemas.openxmlformats.org/officeDocument/2006/customXml" ds:itemID="{30495F22-9D30-4D4C-A3E6-4AAF3A1389B9}">
  <ds:schemaRefs/>
</ds:datastoreItem>
</file>

<file path=customXml/itemProps5.xml><?xml version="1.0" encoding="utf-8"?>
<ds:datastoreItem xmlns:ds="http://schemas.openxmlformats.org/officeDocument/2006/customXml" ds:itemID="{945FC7C0-99C0-4785-B86A-067AC9AA4EA6}">
  <ds:schemaRefs>
    <ds:schemaRef ds:uri="http://schemas.microsoft.com/DataMashup"/>
  </ds:schemaRefs>
</ds:datastoreItem>
</file>

<file path=customXml/itemProps6.xml><?xml version="1.0" encoding="utf-8"?>
<ds:datastoreItem xmlns:ds="http://schemas.openxmlformats.org/officeDocument/2006/customXml" ds:itemID="{3405DC39-66D1-4F97-A59F-BB2FAE6342FB}">
  <ds:schemaRefs/>
</ds:datastoreItem>
</file>

<file path=customXml/itemProps7.xml><?xml version="1.0" encoding="utf-8"?>
<ds:datastoreItem xmlns:ds="http://schemas.openxmlformats.org/officeDocument/2006/customXml" ds:itemID="{66914783-279F-4A3A-82AC-CEC71BDB4D03}">
  <ds:schemaRefs/>
</ds:datastoreItem>
</file>

<file path=customXml/itemProps8.xml><?xml version="1.0" encoding="utf-8"?>
<ds:datastoreItem xmlns:ds="http://schemas.openxmlformats.org/officeDocument/2006/customXml" ds:itemID="{5DF9A645-EF59-4F81-8A44-32CBEC9822AF}">
  <ds:schemaRefs/>
</ds:datastoreItem>
</file>

<file path=customXml/itemProps9.xml><?xml version="1.0" encoding="utf-8"?>
<ds:datastoreItem xmlns:ds="http://schemas.openxmlformats.org/officeDocument/2006/customXml" ds:itemID="{9AA7ED1F-C2A9-4F72-8FDC-4952E2C81B6F}">
  <ds:schemaRefs/>
</ds:datastoreItem>
</file>

<file path=customXml/itemProps10.xml><?xml version="1.0" encoding="utf-8"?>
<ds:datastoreItem xmlns:ds="http://schemas.openxmlformats.org/officeDocument/2006/customXml" ds:itemID="{87CBBA19-D6E4-4E25-98BC-04AC731BB71D}">
  <ds:schemaRefs/>
</ds:datastoreItem>
</file>

<file path=customXml/itemProps11.xml><?xml version="1.0" encoding="utf-8"?>
<ds:datastoreItem xmlns:ds="http://schemas.openxmlformats.org/officeDocument/2006/customXml" ds:itemID="{180CD2C0-9E4D-4D6E-B44F-ECB9702911C0}">
  <ds:schemaRefs/>
</ds:datastoreItem>
</file>

<file path=customXml/itemProps12.xml><?xml version="1.0" encoding="utf-8"?>
<ds:datastoreItem xmlns:ds="http://schemas.openxmlformats.org/officeDocument/2006/customXml" ds:itemID="{408FF418-A73C-4842-B09A-72822A54A41A}">
  <ds:schemaRefs/>
</ds:datastoreItem>
</file>

<file path=customXml/itemProps13.xml><?xml version="1.0" encoding="utf-8"?>
<ds:datastoreItem xmlns:ds="http://schemas.openxmlformats.org/officeDocument/2006/customXml" ds:itemID="{75E6057B-3576-4069-9657-5297B13CE78C}">
  <ds:schemaRefs/>
</ds:datastoreItem>
</file>

<file path=customXml/itemProps14.xml><?xml version="1.0" encoding="utf-8"?>
<ds:datastoreItem xmlns:ds="http://schemas.openxmlformats.org/officeDocument/2006/customXml" ds:itemID="{3C2B9F89-2791-433E-A0FF-33E875DDA5E3}">
  <ds:schemaRefs/>
</ds:datastoreItem>
</file>

<file path=customXml/itemProps15.xml><?xml version="1.0" encoding="utf-8"?>
<ds:datastoreItem xmlns:ds="http://schemas.openxmlformats.org/officeDocument/2006/customXml" ds:itemID="{B2FF77ED-FDC2-4588-972B-368642F7B7F4}">
  <ds:schemaRefs/>
</ds:datastoreItem>
</file>

<file path=customXml/itemProps16.xml><?xml version="1.0" encoding="utf-8"?>
<ds:datastoreItem xmlns:ds="http://schemas.openxmlformats.org/officeDocument/2006/customXml" ds:itemID="{573CED1B-0B07-4A29-A556-3CC9F113DC99}">
  <ds:schemaRefs/>
</ds:datastoreItem>
</file>

<file path=customXml/itemProps17.xml><?xml version="1.0" encoding="utf-8"?>
<ds:datastoreItem xmlns:ds="http://schemas.openxmlformats.org/officeDocument/2006/customXml" ds:itemID="{56FB25EA-5676-4710-86A2-D64C85C6ED82}">
  <ds:schemaRefs/>
</ds:datastoreItem>
</file>

<file path=customXml/itemProps18.xml><?xml version="1.0" encoding="utf-8"?>
<ds:datastoreItem xmlns:ds="http://schemas.openxmlformats.org/officeDocument/2006/customXml" ds:itemID="{774C15A8-0184-401B-847D-4680335FD3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Pivot Report</vt:lpstr>
      <vt:lpstr>Dashboard</vt:lpstr>
      <vt:lpstr>Patient Satisfaction Score</vt:lpstr>
      <vt:lpstr>avevage waittime</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 Nathe</dc:creator>
  <cp:lastModifiedBy>Tejas Nathe</cp:lastModifiedBy>
  <dcterms:created xsi:type="dcterms:W3CDTF">2026-01-11T09:03:38Z</dcterms:created>
  <dcterms:modified xsi:type="dcterms:W3CDTF">2026-01-16T14:36:55Z</dcterms:modified>
</cp:coreProperties>
</file>